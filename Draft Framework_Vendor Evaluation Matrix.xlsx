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Z:\New Product_Vendor Evaluation Matrix\"/>
    </mc:Choice>
  </mc:AlternateContent>
  <xr:revisionPtr revIDLastSave="0" documentId="13_ncr:1_{F859638D-5606-4074-B5FA-5C48F3AB44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riteria" sheetId="1" r:id="rId1"/>
    <sheet name="Vendor Rating" sheetId="2" r:id="rId2"/>
    <sheet name="Solution Capability" sheetId="3" r:id="rId3"/>
    <sheet name="Business Excelle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4" l="1"/>
  <c r="E15" i="2"/>
  <c r="C15" i="2"/>
  <c r="F14" i="2"/>
  <c r="B14" i="2"/>
  <c r="G13" i="2"/>
  <c r="F13" i="2"/>
  <c r="E13" i="2"/>
  <c r="D13" i="2"/>
  <c r="C13" i="2"/>
  <c r="B13" i="2"/>
  <c r="U21" i="4"/>
  <c r="V21" i="4" s="1"/>
  <c r="F15" i="2" s="1"/>
  <c r="U17" i="4"/>
  <c r="V17" i="4" s="1"/>
  <c r="U13" i="4"/>
  <c r="V13" i="4" s="1"/>
  <c r="D15" i="2" s="1"/>
  <c r="U9" i="4"/>
  <c r="V9" i="4" s="1"/>
  <c r="U5" i="4"/>
  <c r="V5" i="4" s="1"/>
  <c r="B15" i="2" s="1"/>
  <c r="Q21" i="4"/>
  <c r="R21" i="4" s="1"/>
  <c r="Q17" i="4"/>
  <c r="R17" i="4" s="1"/>
  <c r="E14" i="2" s="1"/>
  <c r="Q13" i="4"/>
  <c r="R13" i="4" s="1"/>
  <c r="D14" i="2" s="1"/>
  <c r="R9" i="4"/>
  <c r="C14" i="2" s="1"/>
  <c r="Q5" i="4"/>
  <c r="R5" i="4" s="1"/>
  <c r="M21" i="4"/>
  <c r="N21" i="4" s="1"/>
  <c r="M17" i="4"/>
  <c r="N17" i="4" s="1"/>
  <c r="M13" i="4"/>
  <c r="N13" i="4" s="1"/>
  <c r="M9" i="4"/>
  <c r="N9" i="4" s="1"/>
  <c r="M5" i="4"/>
  <c r="N5" i="4" s="1"/>
  <c r="G8" i="2"/>
  <c r="F8" i="2"/>
  <c r="E8" i="2"/>
  <c r="D8" i="2"/>
  <c r="C8" i="2"/>
  <c r="B8" i="2"/>
  <c r="C7" i="2"/>
  <c r="G6" i="2"/>
  <c r="F6" i="2"/>
  <c r="E6" i="2"/>
  <c r="D6" i="2"/>
  <c r="C6" i="2"/>
  <c r="B6" i="2"/>
  <c r="U21" i="3"/>
  <c r="V21" i="3" s="1"/>
  <c r="U17" i="3"/>
  <c r="V17" i="3" s="1"/>
  <c r="V13" i="3"/>
  <c r="U13" i="3"/>
  <c r="U9" i="3"/>
  <c r="V9" i="3" s="1"/>
  <c r="U5" i="3"/>
  <c r="V5" i="3" s="1"/>
  <c r="Q21" i="3"/>
  <c r="R21" i="3" s="1"/>
  <c r="F7" i="2" s="1"/>
  <c r="Q17" i="3"/>
  <c r="R17" i="3" s="1"/>
  <c r="E7" i="2" s="1"/>
  <c r="Q13" i="3"/>
  <c r="R13" i="3" s="1"/>
  <c r="D7" i="2" s="1"/>
  <c r="Q9" i="3"/>
  <c r="R9" i="3" s="1"/>
  <c r="Q5" i="3"/>
  <c r="R5" i="3" s="1"/>
  <c r="B7" i="2" s="1"/>
  <c r="M21" i="3"/>
  <c r="N21" i="3" s="1"/>
  <c r="M17" i="3"/>
  <c r="N17" i="3" s="1"/>
  <c r="M13" i="3"/>
  <c r="N13" i="3" s="1"/>
  <c r="M9" i="3"/>
  <c r="N9" i="3" s="1"/>
  <c r="M5" i="3"/>
  <c r="N5" i="3" s="1"/>
  <c r="F12" i="2"/>
  <c r="D12" i="2"/>
  <c r="G11" i="2"/>
  <c r="F11" i="2"/>
  <c r="E11" i="2"/>
  <c r="D11" i="2"/>
  <c r="C11" i="2"/>
  <c r="B11" i="2"/>
  <c r="I21" i="4"/>
  <c r="J21" i="4" s="1"/>
  <c r="I17" i="4"/>
  <c r="J17" i="4" s="1"/>
  <c r="E12" i="2" s="1"/>
  <c r="I13" i="4"/>
  <c r="J13" i="4" s="1"/>
  <c r="I9" i="4"/>
  <c r="J9" i="4" s="1"/>
  <c r="C12" i="2" s="1"/>
  <c r="I5" i="4"/>
  <c r="J5" i="4" s="1"/>
  <c r="B12" i="2" s="1"/>
  <c r="F13" i="4"/>
  <c r="E21" i="4"/>
  <c r="F21" i="4" s="1"/>
  <c r="E17" i="4"/>
  <c r="F17" i="4" s="1"/>
  <c r="E13" i="4"/>
  <c r="E9" i="4"/>
  <c r="F9" i="4" s="1"/>
  <c r="E5" i="4"/>
  <c r="F5" i="4" s="1"/>
  <c r="I21" i="3"/>
  <c r="J21" i="3" s="1"/>
  <c r="F5" i="2" s="1"/>
  <c r="I17" i="3"/>
  <c r="J17" i="3" s="1"/>
  <c r="E5" i="2" s="1"/>
  <c r="I13" i="3"/>
  <c r="J13" i="3" s="1"/>
  <c r="D5" i="2" s="1"/>
  <c r="I9" i="3"/>
  <c r="J9" i="3" s="1"/>
  <c r="C5" i="2" s="1"/>
  <c r="I5" i="3"/>
  <c r="E21" i="3"/>
  <c r="F21" i="3" s="1"/>
  <c r="F4" i="2" s="1"/>
  <c r="E17" i="3"/>
  <c r="F17" i="3" s="1"/>
  <c r="E4" i="2" s="1"/>
  <c r="E13" i="3"/>
  <c r="F13" i="3" s="1"/>
  <c r="D4" i="2" s="1"/>
  <c r="E9" i="3"/>
  <c r="F9" i="3" s="1"/>
  <c r="C4" i="2" s="1"/>
  <c r="E5" i="3"/>
  <c r="F5" i="3" s="1"/>
  <c r="B4" i="2" s="1"/>
  <c r="V23" i="4" l="1"/>
  <c r="G15" i="2" s="1"/>
  <c r="R23" i="4"/>
  <c r="G14" i="2" s="1"/>
  <c r="N23" i="4"/>
  <c r="V23" i="3"/>
  <c r="R23" i="3"/>
  <c r="G7" i="2" s="1"/>
  <c r="N23" i="3"/>
  <c r="F23" i="3"/>
  <c r="G4" i="2" s="1"/>
  <c r="J23" i="4"/>
  <c r="G12" i="2" s="1"/>
  <c r="F23" i="4"/>
  <c r="J5" i="3"/>
  <c r="J23" i="3" l="1"/>
  <c r="G5" i="2" s="1"/>
  <c r="B5" i="2"/>
</calcChain>
</file>

<file path=xl/sharedStrings.xml><?xml version="1.0" encoding="utf-8"?>
<sst xmlns="http://schemas.openxmlformats.org/spreadsheetml/2006/main" count="118" uniqueCount="59">
  <si>
    <t>Solution Capability</t>
  </si>
  <si>
    <t>Solution Portfolio</t>
  </si>
  <si>
    <t>Innovation and Product Differentiation</t>
  </si>
  <si>
    <t>Solution Flexibility/Customization</t>
  </si>
  <si>
    <t>Scalability/Deployment</t>
  </si>
  <si>
    <t>Support &amp; Services</t>
  </si>
  <si>
    <t>Business Excellence</t>
  </si>
  <si>
    <t>Financial Stability &amp; Viability</t>
  </si>
  <si>
    <t>Market Reputation</t>
  </si>
  <si>
    <t>Global Presence &amp; Reach</t>
  </si>
  <si>
    <t>Industry Expertise</t>
  </si>
  <si>
    <t>GTM Strategy</t>
  </si>
  <si>
    <t>Category</t>
  </si>
  <si>
    <t>Sub-Category</t>
  </si>
  <si>
    <t>Question</t>
  </si>
  <si>
    <t>Weight</t>
  </si>
  <si>
    <t>Does the vendor offer a diverse solution portfolio?</t>
  </si>
  <si>
    <t>How well does the solution portfolio align with market needs?</t>
  </si>
  <si>
    <t>How unique are the vendor's solutions?</t>
  </si>
  <si>
    <t>Are the solutions differentiated in the market?</t>
  </si>
  <si>
    <t>How much does the vendor innovate in product development?</t>
  </si>
  <si>
    <t>How customizable are the solutions for specific needs?</t>
  </si>
  <si>
    <t>Does the vendor offer flexible solutions?</t>
  </si>
  <si>
    <t>How adaptable are the solutions to changing business environments?</t>
  </si>
  <si>
    <t>How easily can the solutions scale as the business grows?</t>
  </si>
  <si>
    <t>Does the vendor provide efficient deployment options?</t>
  </si>
  <si>
    <t>Is the deployment process fast and efficient?</t>
  </si>
  <si>
    <t>Are the support services available 24/7?</t>
  </si>
  <si>
    <t>How comprehensive are the support services offered?</t>
  </si>
  <si>
    <t>How deep is the vendor's expertise in the industry?</t>
  </si>
  <si>
    <t>Does the vendor demonstrate thought leadership in the industry?</t>
  </si>
  <si>
    <t>Does the vendor have a strong global presence?</t>
  </si>
  <si>
    <t>How well does the vendor support global operations?</t>
  </si>
  <si>
    <t>Does the vendor have regional support teams?</t>
  </si>
  <si>
    <t>What is the general market perception of the vendor?</t>
  </si>
  <si>
    <t>How well-known is the vendor in the market?</t>
  </si>
  <si>
    <t>Are there positive reviews or testimonials from existing clients?</t>
  </si>
  <si>
    <t>How effectively does the vendor target its market segments?</t>
  </si>
  <si>
    <t>How successful has the vendor been with its GTM execution?</t>
  </si>
  <si>
    <t>How sustainable is the vendor's business model?</t>
  </si>
  <si>
    <t>Does the vendor have strong long-term financial prospects?</t>
  </si>
  <si>
    <t>Is the vendor's solution portfolio innovative?</t>
  </si>
  <si>
    <t>How responsive is the vendor's support team?</t>
  </si>
  <si>
    <t>How well-defined is the vendor's go-to-market strategy?</t>
  </si>
  <si>
    <t>What is the vendor's financial health?</t>
  </si>
  <si>
    <t>Vendor 1</t>
  </si>
  <si>
    <t>Vendor 2</t>
  </si>
  <si>
    <t>Vendor 3</t>
  </si>
  <si>
    <t>Vendor 4</t>
  </si>
  <si>
    <t>Vendor 5</t>
  </si>
  <si>
    <t>Overall Rating</t>
  </si>
  <si>
    <t xml:space="preserve">Market Reputation </t>
  </si>
  <si>
    <t>Solution Capability (X Axis)</t>
  </si>
  <si>
    <t>Business Excellence (Y Axis)</t>
  </si>
  <si>
    <t>X Axis</t>
  </si>
  <si>
    <t>Y Axis</t>
  </si>
  <si>
    <t>How relevant is the vendor's experience to the client's needs?</t>
  </si>
  <si>
    <t>Weightage</t>
  </si>
  <si>
    <t>Line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</si>
</sst>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9" fontId="0" fillId="0" borderId="0" xfId="0" applyNumberFormat="1" applyAlignment="1">
      <alignment horizontal="center"/>
    </xf>
    <xf numFmtId="9" fontId="0" fillId="9" borderId="0" xfId="1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10" borderId="1" xfId="0" applyFont="1" applyFill="1" applyBorder="1" applyAlignment="1">
      <alignment horizontal="center"/>
    </xf>
    <xf numFmtId="9" fontId="0" fillId="10" borderId="4" xfId="0" applyNumberForma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9" fontId="0" fillId="10" borderId="6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9" fontId="1" fillId="8" borderId="8" xfId="0" applyNumberFormat="1" applyFont="1" applyFill="1" applyBorder="1" applyAlignment="1">
      <alignment horizontal="center"/>
    </xf>
    <xf numFmtId="9" fontId="1" fillId="8" borderId="8" xfId="1" applyFont="1" applyFill="1" applyBorder="1" applyAlignment="1">
      <alignment horizontal="center"/>
    </xf>
    <xf numFmtId="9" fontId="1" fillId="6" borderId="5" xfId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/>
    <xf numFmtId="9" fontId="1" fillId="5" borderId="0" xfId="0" applyNumberFormat="1" applyFont="1" applyFill="1" applyAlignment="1">
      <alignment horizontal="center"/>
    </xf>
    <xf numFmtId="0" fontId="0" fillId="11" borderId="0" xfId="0" applyFill="1" applyAlignment="1">
      <alignment horizontal="center"/>
    </xf>
    <xf numFmtId="0" fontId="1" fillId="11" borderId="0" xfId="0" applyFont="1" applyFill="1"/>
    <xf numFmtId="0" fontId="1" fillId="11" borderId="0" xfId="0" applyFont="1" applyFill="1" applyAlignment="1">
      <alignment horizontal="center"/>
    </xf>
    <xf numFmtId="9" fontId="1" fillId="5" borderId="4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332135</xdr:colOff>
      <xdr:row>22</xdr:row>
      <xdr:rowOff>127000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CF83F179-5E51-C7E4-2BE3-0459248A4988}"/>
            </a:ext>
          </a:extLst>
        </xdr:cNvPr>
        <xdr:cNvGrpSpPr/>
      </xdr:nvGrpSpPr>
      <xdr:grpSpPr>
        <a:xfrm>
          <a:off x="12527643" y="0"/>
          <a:ext cx="5330492" cy="4154714"/>
          <a:chOff x="14312901" y="1951039"/>
          <a:chExt cx="5886797" cy="3891184"/>
        </a:xfrm>
      </xdr:grpSpPr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2137401D-94A7-D424-2554-A3D51F74EFC4}"/>
              </a:ext>
            </a:extLst>
          </xdr:cNvPr>
          <xdr:cNvCxnSpPr>
            <a:stCxn id="2" idx="0"/>
            <a:endCxn id="2" idx="2"/>
          </xdr:cNvCxnSpPr>
        </xdr:nvCxnSpPr>
        <xdr:spPr>
          <a:xfrm>
            <a:off x="17752219" y="2087563"/>
            <a:ext cx="0" cy="3230562"/>
          </a:xfrm>
          <a:prstGeom prst="line">
            <a:avLst/>
          </a:prstGeom>
          <a:ln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D2EA0016-B869-40C9-8ACF-13EA3B47F47D}"/>
              </a:ext>
            </a:extLst>
          </xdr:cNvPr>
          <xdr:cNvCxnSpPr>
            <a:endCxn id="2" idx="3"/>
          </xdr:cNvCxnSpPr>
        </xdr:nvCxnSpPr>
        <xdr:spPr>
          <a:xfrm>
            <a:off x="15692438" y="3698875"/>
            <a:ext cx="4119562" cy="3969"/>
          </a:xfrm>
          <a:prstGeom prst="line">
            <a:avLst/>
          </a:prstGeom>
          <a:ln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7D521A8F-9BFA-49C8-7CA3-78689D6FC075}"/>
              </a:ext>
            </a:extLst>
          </xdr:cNvPr>
          <xdr:cNvGrpSpPr/>
        </xdr:nvGrpSpPr>
        <xdr:grpSpPr>
          <a:xfrm>
            <a:off x="14312901" y="1951039"/>
            <a:ext cx="5886797" cy="3891184"/>
            <a:chOff x="14312901" y="1951039"/>
            <a:chExt cx="5886797" cy="3891184"/>
          </a:xfrm>
        </xdr:grpSpPr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518151EF-55F5-AD7B-E4BD-DCB2242D6019}"/>
                </a:ext>
              </a:extLst>
            </xdr:cNvPr>
            <xdr:cNvSpPr/>
          </xdr:nvSpPr>
          <xdr:spPr>
            <a:xfrm>
              <a:off x="15692438" y="2087563"/>
              <a:ext cx="4119562" cy="3230562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A2B5344-1102-9BA5-080B-56A5636E2247}"/>
                </a:ext>
              </a:extLst>
            </xdr:cNvPr>
            <xdr:cNvSpPr txBox="1"/>
          </xdr:nvSpPr>
          <xdr:spPr>
            <a:xfrm>
              <a:off x="17145001" y="5405437"/>
              <a:ext cx="1289520" cy="436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US" sz="1100" b="1"/>
                <a:t>Solution Capability</a:t>
              </a:r>
            </a:p>
            <a:p>
              <a:pPr algn="ctr"/>
              <a:r>
                <a:rPr lang="en-US" sz="1100" b="1"/>
                <a:t>( X</a:t>
              </a:r>
              <a:r>
                <a:rPr lang="en-US" sz="1100" b="1" baseline="0"/>
                <a:t> Axis )</a:t>
              </a:r>
              <a:r>
                <a:rPr lang="en-US" sz="1100" b="1"/>
                <a:t> </a:t>
              </a: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57F1F98-B02E-435E-8BF7-ACF46AA95E28}"/>
                </a:ext>
              </a:extLst>
            </xdr:cNvPr>
            <xdr:cNvSpPr txBox="1"/>
          </xdr:nvSpPr>
          <xdr:spPr>
            <a:xfrm>
              <a:off x="14312901" y="3502025"/>
              <a:ext cx="1331455" cy="436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US" sz="1100" b="1"/>
                <a:t>Business Excellence</a:t>
              </a:r>
            </a:p>
            <a:p>
              <a:pPr algn="ctr"/>
              <a:r>
                <a:rPr lang="en-US" sz="1100" b="1" baseline="0"/>
                <a:t> (Y Axis)</a:t>
              </a:r>
              <a:endParaRPr lang="en-US" sz="1100" b="1"/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AE8810F-91F1-4407-AF2F-7264017E4466}"/>
                </a:ext>
              </a:extLst>
            </xdr:cNvPr>
            <xdr:cNvSpPr txBox="1"/>
          </xdr:nvSpPr>
          <xdr:spPr>
            <a:xfrm>
              <a:off x="15409863" y="5218112"/>
              <a:ext cx="359009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/>
                <a:t>0%</a:t>
              </a: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2873E00-06F3-495B-BCFE-34EA6E7A469C}"/>
                </a:ext>
              </a:extLst>
            </xdr:cNvPr>
            <xdr:cNvSpPr txBox="1"/>
          </xdr:nvSpPr>
          <xdr:spPr>
            <a:xfrm>
              <a:off x="19697701" y="5291137"/>
              <a:ext cx="501997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/>
                <a:t>100%</a:t>
              </a: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A77CAC1-A197-407D-96C7-300EB3302662}"/>
                </a:ext>
              </a:extLst>
            </xdr:cNvPr>
            <xdr:cNvSpPr txBox="1"/>
          </xdr:nvSpPr>
          <xdr:spPr>
            <a:xfrm>
              <a:off x="15230476" y="1951039"/>
              <a:ext cx="501997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/>
                <a:t>100%</a:t>
              </a:r>
            </a:p>
          </xdr:txBody>
        </xdr:sp>
        <xdr:sp macro="" textlink="">
          <xdr:nvSpPr>
            <xdr:cNvPr id="13" name="Oval 12">
              <a:extLst>
                <a:ext uri="{FF2B5EF4-FFF2-40B4-BE49-F238E27FC236}">
                  <a16:creationId xmlns:a16="http://schemas.microsoft.com/office/drawing/2014/main" id="{D65302AF-C477-67AA-1379-633F8098CE1B}"/>
                </a:ext>
              </a:extLst>
            </xdr:cNvPr>
            <xdr:cNvSpPr/>
          </xdr:nvSpPr>
          <xdr:spPr>
            <a:xfrm>
              <a:off x="17977296" y="3214365"/>
              <a:ext cx="142875" cy="134937"/>
            </a:xfrm>
            <a:prstGeom prst="ellips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32E4B0-0692-4BB2-A089-501D12602B2F}"/>
                </a:ext>
              </a:extLst>
            </xdr:cNvPr>
            <xdr:cNvSpPr txBox="1"/>
          </xdr:nvSpPr>
          <xdr:spPr>
            <a:xfrm>
              <a:off x="17809021" y="3356973"/>
              <a:ext cx="719941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/>
                <a:t>Vendor 1</a:t>
              </a:r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50C0E36-053B-4F69-BD55-89772C1F9974}"/>
                </a:ext>
              </a:extLst>
            </xdr:cNvPr>
            <xdr:cNvSpPr txBox="1"/>
          </xdr:nvSpPr>
          <xdr:spPr>
            <a:xfrm>
              <a:off x="18089747" y="2630782"/>
              <a:ext cx="719941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/>
                <a:t>Vendor 2</a:t>
              </a:r>
            </a:p>
          </xdr:txBody>
        </xdr:sp>
        <xdr:sp macro="" textlink="">
          <xdr:nvSpPr>
            <xdr:cNvPr id="16" name="Oval 15">
              <a:extLst>
                <a:ext uri="{FF2B5EF4-FFF2-40B4-BE49-F238E27FC236}">
                  <a16:creationId xmlns:a16="http://schemas.microsoft.com/office/drawing/2014/main" id="{F27118F5-9A06-48FE-92D4-7B3C8793AA3A}"/>
                </a:ext>
              </a:extLst>
            </xdr:cNvPr>
            <xdr:cNvSpPr/>
          </xdr:nvSpPr>
          <xdr:spPr>
            <a:xfrm>
              <a:off x="18218151" y="2946400"/>
              <a:ext cx="142875" cy="134937"/>
            </a:xfrm>
            <a:prstGeom prst="ellipse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7</xdr:col>
      <xdr:colOff>569231</xdr:colOff>
      <xdr:row>7</xdr:row>
      <xdr:rowOff>9071</xdr:rowOff>
    </xdr:from>
    <xdr:to>
      <xdr:col>9</xdr:col>
      <xdr:colOff>227919</xdr:colOff>
      <xdr:row>9</xdr:row>
      <xdr:rowOff>52161</xdr:rowOff>
    </xdr:to>
    <xdr:sp macro="" textlink="">
      <xdr:nvSpPr>
        <xdr:cNvPr id="17" name="Arrow: Striped Right 16">
          <a:extLst>
            <a:ext uri="{FF2B5EF4-FFF2-40B4-BE49-F238E27FC236}">
              <a16:creationId xmlns:a16="http://schemas.microsoft.com/office/drawing/2014/main" id="{1B1A7294-344E-F6E2-5548-A08DA29710DE}"/>
            </a:ext>
          </a:extLst>
        </xdr:cNvPr>
        <xdr:cNvSpPr/>
      </xdr:nvSpPr>
      <xdr:spPr>
        <a:xfrm>
          <a:off x="12216945" y="1297214"/>
          <a:ext cx="874260" cy="424090"/>
        </a:xfrm>
        <a:prstGeom prst="strip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39008</xdr:colOff>
      <xdr:row>7</xdr:row>
      <xdr:rowOff>108857</xdr:rowOff>
    </xdr:from>
    <xdr:to>
      <xdr:col>14</xdr:col>
      <xdr:colOff>181745</xdr:colOff>
      <xdr:row>8</xdr:row>
      <xdr:rowOff>71505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872E1E5-1B62-40E7-8328-1740D395188E}"/>
            </a:ext>
          </a:extLst>
        </xdr:cNvPr>
        <xdr:cNvSpPr/>
      </xdr:nvSpPr>
      <xdr:spPr>
        <a:xfrm>
          <a:off x="18417722" y="1397000"/>
          <a:ext cx="142737" cy="144076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810079</xdr:colOff>
      <xdr:row>8</xdr:row>
      <xdr:rowOff>0</xdr:rowOff>
    </xdr:from>
    <xdr:to>
      <xdr:col>14</xdr:col>
      <xdr:colOff>567756</xdr:colOff>
      <xdr:row>9</xdr:row>
      <xdr:rowOff>82905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882851-1AAB-4A87-BEAD-D891157C1F4C}"/>
            </a:ext>
          </a:extLst>
        </xdr:cNvPr>
        <xdr:cNvSpPr txBox="1"/>
      </xdr:nvSpPr>
      <xdr:spPr>
        <a:xfrm>
          <a:off x="18227222" y="1469571"/>
          <a:ext cx="719248" cy="2824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1"/>
            <a:t>Vendor 3</a:t>
          </a:r>
        </a:p>
      </xdr:txBody>
    </xdr:sp>
    <xdr:clientData/>
  </xdr:twoCellAnchor>
  <xdr:twoCellAnchor>
    <xdr:from>
      <xdr:col>12</xdr:col>
      <xdr:colOff>320222</xdr:colOff>
      <xdr:row>11</xdr:row>
      <xdr:rowOff>63500</xdr:rowOff>
    </xdr:from>
    <xdr:to>
      <xdr:col>12</xdr:col>
      <xdr:colOff>462959</xdr:colOff>
      <xdr:row>12</xdr:row>
      <xdr:rowOff>26147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0F00633-96B9-4B30-A57E-93AEDD0D364B}"/>
            </a:ext>
          </a:extLst>
        </xdr:cNvPr>
        <xdr:cNvSpPr/>
      </xdr:nvSpPr>
      <xdr:spPr>
        <a:xfrm>
          <a:off x="16712293" y="2095500"/>
          <a:ext cx="142737" cy="144076"/>
        </a:xfrm>
        <a:prstGeom prst="ellipse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964293</xdr:colOff>
      <xdr:row>12</xdr:row>
      <xdr:rowOff>18142</xdr:rowOff>
    </xdr:from>
    <xdr:to>
      <xdr:col>12</xdr:col>
      <xdr:colOff>694756</xdr:colOff>
      <xdr:row>13</xdr:row>
      <xdr:rowOff>119191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9E9413D-5F8D-401F-A87F-F94F2E957C0F}"/>
            </a:ext>
          </a:extLst>
        </xdr:cNvPr>
        <xdr:cNvSpPr txBox="1"/>
      </xdr:nvSpPr>
      <xdr:spPr>
        <a:xfrm>
          <a:off x="16367579" y="2231571"/>
          <a:ext cx="719248" cy="2824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1"/>
            <a:t>Vendor 4</a:t>
          </a:r>
        </a:p>
      </xdr:txBody>
    </xdr:sp>
    <xdr:clientData/>
  </xdr:twoCellAnchor>
  <xdr:twoCellAnchor>
    <xdr:from>
      <xdr:col>13</xdr:col>
      <xdr:colOff>127907</xdr:colOff>
      <xdr:row>10</xdr:row>
      <xdr:rowOff>107043</xdr:rowOff>
    </xdr:from>
    <xdr:to>
      <xdr:col>13</xdr:col>
      <xdr:colOff>270644</xdr:colOff>
      <xdr:row>11</xdr:row>
      <xdr:rowOff>69690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EBF10C19-274C-4976-AF45-CAE80C6EAB9C}"/>
            </a:ext>
          </a:extLst>
        </xdr:cNvPr>
        <xdr:cNvSpPr/>
      </xdr:nvSpPr>
      <xdr:spPr>
        <a:xfrm>
          <a:off x="17545050" y="1957614"/>
          <a:ext cx="142737" cy="144076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926193</xdr:colOff>
      <xdr:row>11</xdr:row>
      <xdr:rowOff>52614</xdr:rowOff>
    </xdr:from>
    <xdr:to>
      <xdr:col>13</xdr:col>
      <xdr:colOff>620369</xdr:colOff>
      <xdr:row>12</xdr:row>
      <xdr:rowOff>153662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BCB361F-8385-4AE1-B74F-2BB4E796D5DF}"/>
            </a:ext>
          </a:extLst>
        </xdr:cNvPr>
        <xdr:cNvSpPr txBox="1"/>
      </xdr:nvSpPr>
      <xdr:spPr>
        <a:xfrm>
          <a:off x="17318264" y="2084614"/>
          <a:ext cx="719248" cy="2824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1"/>
            <a:t>Vendor 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"/>
  <sheetViews>
    <sheetView tabSelected="1" zoomScale="90" zoomScaleNormal="90" workbookViewId="0">
      <selection activeCell="G17" sqref="G17"/>
    </sheetView>
  </sheetViews>
  <sheetFormatPr defaultRowHeight="14.5" x14ac:dyDescent="0.35"/>
  <cols>
    <col min="2" max="2" width="34.54296875" customWidth="1"/>
    <col min="3" max="3" width="11.54296875" style="2" customWidth="1"/>
    <col min="6" max="6" width="31.26953125" customWidth="1"/>
    <col min="7" max="7" width="12.6328125" style="2" customWidth="1"/>
  </cols>
  <sheetData>
    <row r="1" spans="2:7" x14ac:dyDescent="0.35">
      <c r="B1" s="21" t="s">
        <v>54</v>
      </c>
      <c r="C1" s="21" t="s">
        <v>57</v>
      </c>
      <c r="D1" s="21"/>
      <c r="E1" s="21"/>
      <c r="F1" s="21" t="s">
        <v>55</v>
      </c>
      <c r="G1" s="21" t="s">
        <v>57</v>
      </c>
    </row>
    <row r="2" spans="2:7" x14ac:dyDescent="0.35">
      <c r="B2" s="1" t="s">
        <v>0</v>
      </c>
      <c r="C2" s="23">
        <v>0.5</v>
      </c>
      <c r="F2" s="1" t="s">
        <v>6</v>
      </c>
      <c r="G2" s="23">
        <v>0.5</v>
      </c>
    </row>
    <row r="4" spans="2:7" x14ac:dyDescent="0.35">
      <c r="B4" s="25" t="s">
        <v>58</v>
      </c>
      <c r="C4" s="24"/>
      <c r="F4" s="25" t="s">
        <v>58</v>
      </c>
      <c r="G4" s="26"/>
    </row>
    <row r="5" spans="2:7" x14ac:dyDescent="0.35">
      <c r="B5" t="s">
        <v>1</v>
      </c>
      <c r="C5" s="23">
        <v>0.3</v>
      </c>
      <c r="F5" t="s">
        <v>10</v>
      </c>
      <c r="G5" s="23">
        <v>0.25</v>
      </c>
    </row>
    <row r="6" spans="2:7" x14ac:dyDescent="0.35">
      <c r="B6" t="s">
        <v>2</v>
      </c>
      <c r="C6" s="23">
        <v>0.2</v>
      </c>
      <c r="F6" t="s">
        <v>9</v>
      </c>
      <c r="G6" s="23">
        <v>0.25</v>
      </c>
    </row>
    <row r="7" spans="2:7" x14ac:dyDescent="0.35">
      <c r="B7" t="s">
        <v>3</v>
      </c>
      <c r="C7" s="23">
        <v>0.2</v>
      </c>
      <c r="F7" t="s">
        <v>11</v>
      </c>
      <c r="G7" s="23">
        <v>0.2</v>
      </c>
    </row>
    <row r="8" spans="2:7" x14ac:dyDescent="0.35">
      <c r="B8" t="s">
        <v>4</v>
      </c>
      <c r="C8" s="23">
        <v>0.15</v>
      </c>
      <c r="F8" t="s">
        <v>51</v>
      </c>
      <c r="G8" s="23">
        <v>0.15</v>
      </c>
    </row>
    <row r="9" spans="2:7" x14ac:dyDescent="0.35">
      <c r="B9" t="s">
        <v>5</v>
      </c>
      <c r="C9" s="23">
        <v>0.15</v>
      </c>
      <c r="F9" t="s">
        <v>7</v>
      </c>
      <c r="G9" s="23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A3F7-53D7-49D7-BABD-5AB70145C67B}">
  <dimension ref="A2:G15"/>
  <sheetViews>
    <sheetView zoomScale="70" zoomScaleNormal="70" workbookViewId="0">
      <selection activeCell="C22" sqref="C22"/>
    </sheetView>
  </sheetViews>
  <sheetFormatPr defaultRowHeight="14.5" x14ac:dyDescent="0.35"/>
  <cols>
    <col min="1" max="1" width="10.90625" customWidth="1"/>
    <col min="2" max="2" width="17.08984375" customWidth="1"/>
    <col min="3" max="3" width="32.81640625" customWidth="1"/>
    <col min="4" max="4" width="28.90625" customWidth="1"/>
    <col min="5" max="5" width="19.6328125" customWidth="1"/>
    <col min="6" max="6" width="24.08984375" customWidth="1"/>
    <col min="7" max="7" width="19.6328125" customWidth="1"/>
    <col min="11" max="11" width="15.26953125" customWidth="1"/>
    <col min="12" max="12" width="14.08984375" customWidth="1"/>
    <col min="13" max="13" width="14.7265625" customWidth="1"/>
    <col min="14" max="14" width="13.81640625" customWidth="1"/>
    <col min="15" max="15" width="13.6328125" customWidth="1"/>
  </cols>
  <sheetData>
    <row r="2" spans="1:7" ht="15.5" x14ac:dyDescent="0.35">
      <c r="B2" s="28" t="s">
        <v>52</v>
      </c>
      <c r="C2" s="28"/>
      <c r="D2" s="28"/>
      <c r="E2" s="28"/>
      <c r="F2" s="28"/>
    </row>
    <row r="3" spans="1:7" x14ac:dyDescent="0.3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50</v>
      </c>
    </row>
    <row r="4" spans="1:7" x14ac:dyDescent="0.35">
      <c r="A4" s="3" t="s">
        <v>45</v>
      </c>
      <c r="B4" s="6">
        <f>'Solution Capability'!F5</f>
        <v>0.18</v>
      </c>
      <c r="C4" s="6">
        <f>'Solution Capability'!F9</f>
        <v>6.8000000000000005E-2</v>
      </c>
      <c r="D4" s="6">
        <f>'Solution Capability'!F13</f>
        <v>0.10400000000000001</v>
      </c>
      <c r="E4" s="6">
        <f>'Solution Capability'!F17</f>
        <v>8.6999999999999994E-2</v>
      </c>
      <c r="F4" s="6">
        <f>'Solution Capability'!F21</f>
        <v>8.8499999999999995E-2</v>
      </c>
      <c r="G4" s="7">
        <f>'Solution Capability'!F23</f>
        <v>0.52749999999999997</v>
      </c>
    </row>
    <row r="5" spans="1:7" x14ac:dyDescent="0.35">
      <c r="A5" s="3" t="s">
        <v>46</v>
      </c>
      <c r="B5" s="6">
        <f>'Solution Capability'!J5</f>
        <v>0.23700000000000002</v>
      </c>
      <c r="C5" s="6">
        <f>'Solution Capability'!J9</f>
        <v>9.4E-2</v>
      </c>
      <c r="D5" s="6">
        <f>'Solution Capability'!J13</f>
        <v>0.10800000000000001</v>
      </c>
      <c r="E5" s="6">
        <f>'Solution Capability'!J17</f>
        <v>0.1065</v>
      </c>
      <c r="F5" s="6">
        <f>'Solution Capability'!J21</f>
        <v>7.6499999999999985E-2</v>
      </c>
      <c r="G5" s="7">
        <f>'Solution Capability'!J23</f>
        <v>0.62200000000000011</v>
      </c>
    </row>
    <row r="6" spans="1:7" x14ac:dyDescent="0.35">
      <c r="A6" s="3" t="s">
        <v>47</v>
      </c>
      <c r="B6" s="6">
        <f>'Solution Capability'!N5</f>
        <v>0.28199999999999992</v>
      </c>
      <c r="C6" s="6">
        <f>'Solution Capability'!N9</f>
        <v>0.12000000000000002</v>
      </c>
      <c r="D6" s="6">
        <f>'Solution Capability'!N13</f>
        <v>0.188</v>
      </c>
      <c r="E6" s="6">
        <f>'Solution Capability'!N17</f>
        <v>0.12299999999999997</v>
      </c>
      <c r="F6" s="6">
        <f>'Solution Capability'!N21</f>
        <v>0.11550000000000001</v>
      </c>
      <c r="G6" s="7">
        <f>'Solution Capability'!N23</f>
        <v>0.8284999999999999</v>
      </c>
    </row>
    <row r="7" spans="1:7" x14ac:dyDescent="0.35">
      <c r="A7" s="3" t="s">
        <v>48</v>
      </c>
      <c r="B7" s="6">
        <f>'Solution Capability'!R5</f>
        <v>0.11700000000000002</v>
      </c>
      <c r="C7" s="6">
        <f>'Solution Capability'!R9</f>
        <v>0.12000000000000002</v>
      </c>
      <c r="D7" s="6">
        <f>'Solution Capability'!R13</f>
        <v>5.7999999999999996E-2</v>
      </c>
      <c r="E7" s="6">
        <f>'Solution Capability'!R17</f>
        <v>8.5499999999999993E-2</v>
      </c>
      <c r="F7" s="6">
        <f>'Solution Capability'!R21</f>
        <v>6.9000000000000006E-2</v>
      </c>
      <c r="G7" s="7">
        <f>'Solution Capability'!R23</f>
        <v>0.44950000000000007</v>
      </c>
    </row>
    <row r="8" spans="1:7" x14ac:dyDescent="0.35">
      <c r="A8" s="3" t="s">
        <v>49</v>
      </c>
      <c r="B8" s="6">
        <f>'Solution Capability'!V5</f>
        <v>0.14699999999999999</v>
      </c>
      <c r="C8" s="6">
        <f>'Solution Capability'!V9</f>
        <v>8.8000000000000009E-2</v>
      </c>
      <c r="D8" s="6">
        <f>'Solution Capability'!V13</f>
        <v>0.11000000000000003</v>
      </c>
      <c r="E8" s="6">
        <f>'Solution Capability'!V17</f>
        <v>0.12899999999999998</v>
      </c>
      <c r="F8" s="6">
        <f>'Solution Capability'!V21</f>
        <v>9.4500000000000001E-2</v>
      </c>
      <c r="G8" s="7">
        <f>'Solution Capability'!V23</f>
        <v>0.56850000000000001</v>
      </c>
    </row>
    <row r="9" spans="1:7" ht="15.5" x14ac:dyDescent="0.35">
      <c r="B9" s="28" t="s">
        <v>53</v>
      </c>
      <c r="C9" s="28"/>
      <c r="D9" s="28"/>
      <c r="E9" s="28"/>
      <c r="F9" s="28"/>
    </row>
    <row r="10" spans="1:7" x14ac:dyDescent="0.35">
      <c r="B10" s="4" t="s">
        <v>10</v>
      </c>
      <c r="C10" s="4" t="s">
        <v>9</v>
      </c>
      <c r="D10" s="4" t="s">
        <v>11</v>
      </c>
      <c r="E10" s="4" t="s">
        <v>51</v>
      </c>
      <c r="F10" s="4" t="s">
        <v>7</v>
      </c>
      <c r="G10" s="5" t="s">
        <v>50</v>
      </c>
    </row>
    <row r="11" spans="1:7" x14ac:dyDescent="0.35">
      <c r="A11" s="3" t="s">
        <v>45</v>
      </c>
      <c r="B11" s="6">
        <f>'Business Excellence'!F5</f>
        <v>0.16250000000000001</v>
      </c>
      <c r="C11" s="6">
        <f>'Business Excellence'!F9</f>
        <v>0.14750000000000002</v>
      </c>
      <c r="D11" s="6">
        <f>'Business Excellence'!F13</f>
        <v>0.15</v>
      </c>
      <c r="E11" s="6">
        <f>'Business Excellence'!F17</f>
        <v>8.1000000000000003E-2</v>
      </c>
      <c r="F11" s="6">
        <f>'Business Excellence'!F21</f>
        <v>0.10799999999999998</v>
      </c>
      <c r="G11" s="7">
        <f>'Business Excellence'!F23</f>
        <v>0.64900000000000002</v>
      </c>
    </row>
    <row r="12" spans="1:7" x14ac:dyDescent="0.35">
      <c r="A12" s="3" t="s">
        <v>46</v>
      </c>
      <c r="B12" s="6">
        <f>'Business Excellence'!J5</f>
        <v>0.19750000000000001</v>
      </c>
      <c r="C12" s="6">
        <f>'Business Excellence'!J9</f>
        <v>0.18249999999999997</v>
      </c>
      <c r="D12" s="6">
        <f>'Business Excellence'!J13</f>
        <v>0.11400000000000003</v>
      </c>
      <c r="E12" s="6">
        <f>'Business Excellence'!J17</f>
        <v>9.2999999999999985E-2</v>
      </c>
      <c r="F12" s="6">
        <f>'Business Excellence'!J21</f>
        <v>0.1125</v>
      </c>
      <c r="G12" s="7">
        <f>'Business Excellence'!J23</f>
        <v>0.69950000000000012</v>
      </c>
    </row>
    <row r="13" spans="1:7" x14ac:dyDescent="0.35">
      <c r="A13" s="3" t="s">
        <v>47</v>
      </c>
      <c r="B13" s="6">
        <f>'Business Excellence'!N5</f>
        <v>0.16250000000000003</v>
      </c>
      <c r="C13" s="6">
        <f>'Business Excellence'!N9</f>
        <v>0.12000000000000002</v>
      </c>
      <c r="D13" s="6">
        <f>'Business Excellence'!N13</f>
        <v>0.10399999999999998</v>
      </c>
      <c r="E13" s="6">
        <f>'Business Excellence'!N17</f>
        <v>0.12</v>
      </c>
      <c r="F13" s="6">
        <f>'Business Excellence'!N21</f>
        <v>8.8499999999999995E-2</v>
      </c>
      <c r="G13" s="7">
        <f>'Business Excellence'!N23</f>
        <v>0.59500000000000008</v>
      </c>
    </row>
    <row r="14" spans="1:7" x14ac:dyDescent="0.35">
      <c r="A14" s="3" t="s">
        <v>48</v>
      </c>
      <c r="B14" s="6">
        <f>'Business Excellence'!R5</f>
        <v>0.14250000000000002</v>
      </c>
      <c r="C14" s="6">
        <f>'Business Excellence'!R9</f>
        <v>8.249999999999999E-2</v>
      </c>
      <c r="D14" s="6">
        <f>'Business Excellence'!R13</f>
        <v>8.4000000000000005E-2</v>
      </c>
      <c r="E14" s="6">
        <f>'Business Excellence'!R17</f>
        <v>5.2500000000000005E-2</v>
      </c>
      <c r="F14" s="6">
        <f>'Business Excellence'!R21</f>
        <v>5.2500000000000005E-2</v>
      </c>
      <c r="G14" s="7">
        <f>'Business Excellence'!R23</f>
        <v>0.41399999999999998</v>
      </c>
    </row>
    <row r="15" spans="1:7" x14ac:dyDescent="0.35">
      <c r="A15" s="3" t="s">
        <v>49</v>
      </c>
      <c r="B15" s="6">
        <f>'Business Excellence'!V5</f>
        <v>0.12250000000000001</v>
      </c>
      <c r="C15" s="6">
        <f>'Business Excellence'!V9</f>
        <v>0.10249999999999999</v>
      </c>
      <c r="D15" s="6">
        <f>'Business Excellence'!V13</f>
        <v>8.8000000000000009E-2</v>
      </c>
      <c r="E15" s="6">
        <f>'Business Excellence'!V17</f>
        <v>9.7500000000000003E-2</v>
      </c>
      <c r="F15" s="6">
        <f>'Business Excellence'!V21</f>
        <v>6.8999999999999992E-2</v>
      </c>
      <c r="G15" s="7">
        <f>'Business Excellence'!V23</f>
        <v>0.47949999999999998</v>
      </c>
    </row>
  </sheetData>
  <mergeCells count="2">
    <mergeCell ref="B2:F2"/>
    <mergeCell ref="B9:F9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44C7-3724-4844-9990-DD8FA094B830}">
  <dimension ref="A1:V23"/>
  <sheetViews>
    <sheetView zoomScale="70" zoomScaleNormal="70" workbookViewId="0">
      <selection activeCell="B21" sqref="B21"/>
    </sheetView>
  </sheetViews>
  <sheetFormatPr defaultRowHeight="14.5" x14ac:dyDescent="0.35"/>
  <cols>
    <col min="1" max="1" width="18.81640625" customWidth="1"/>
    <col min="2" max="2" width="34.453125" customWidth="1"/>
    <col min="3" max="3" width="60.7265625" customWidth="1"/>
    <col min="4" max="4" width="10.90625" style="2" customWidth="1"/>
    <col min="5" max="5" width="9.26953125" customWidth="1"/>
    <col min="6" max="7" width="8.7265625" style="2"/>
    <col min="8" max="8" width="10.90625" style="2" customWidth="1"/>
    <col min="9" max="9" width="9" customWidth="1"/>
    <col min="10" max="10" width="8.7265625" style="2"/>
    <col min="11" max="16" width="9.453125" bestFit="1" customWidth="1"/>
  </cols>
  <sheetData>
    <row r="1" spans="1:22" x14ac:dyDescent="0.35">
      <c r="A1" s="22" t="s">
        <v>12</v>
      </c>
      <c r="B1" s="22" t="s">
        <v>13</v>
      </c>
      <c r="C1" s="22" t="s">
        <v>14</v>
      </c>
      <c r="D1" s="9" t="s">
        <v>15</v>
      </c>
      <c r="E1" s="29" t="s">
        <v>45</v>
      </c>
      <c r="F1" s="30"/>
      <c r="G1" s="21"/>
      <c r="H1" s="9" t="s">
        <v>15</v>
      </c>
      <c r="I1" s="29" t="s">
        <v>46</v>
      </c>
      <c r="J1" s="30"/>
      <c r="K1" s="3"/>
      <c r="L1" s="9" t="s">
        <v>15</v>
      </c>
      <c r="M1" s="29" t="s">
        <v>47</v>
      </c>
      <c r="N1" s="30"/>
      <c r="O1" s="3"/>
      <c r="P1" s="9" t="s">
        <v>15</v>
      </c>
      <c r="Q1" s="29" t="s">
        <v>48</v>
      </c>
      <c r="R1" s="30"/>
      <c r="T1" s="9" t="s">
        <v>15</v>
      </c>
      <c r="U1" s="29" t="s">
        <v>49</v>
      </c>
      <c r="V1" s="30"/>
    </row>
    <row r="2" spans="1:22" x14ac:dyDescent="0.35">
      <c r="A2" s="3" t="s">
        <v>0</v>
      </c>
      <c r="B2" s="3" t="s">
        <v>1</v>
      </c>
      <c r="C2" t="s">
        <v>16</v>
      </c>
      <c r="D2" s="10">
        <v>0.3</v>
      </c>
      <c r="E2" s="2">
        <v>7</v>
      </c>
      <c r="F2" s="15"/>
      <c r="G2" s="21"/>
      <c r="H2" s="10">
        <v>0.3</v>
      </c>
      <c r="I2" s="2">
        <v>9</v>
      </c>
      <c r="J2" s="15"/>
      <c r="L2" s="10">
        <v>0.3</v>
      </c>
      <c r="M2" s="2">
        <v>9</v>
      </c>
      <c r="N2" s="15"/>
      <c r="P2" s="10">
        <v>0.3</v>
      </c>
      <c r="Q2" s="2">
        <v>2</v>
      </c>
      <c r="R2" s="15"/>
      <c r="T2" s="10">
        <v>0.3</v>
      </c>
      <c r="U2" s="2">
        <v>6</v>
      </c>
      <c r="V2" s="15"/>
    </row>
    <row r="3" spans="1:22" x14ac:dyDescent="0.35">
      <c r="A3" s="3"/>
      <c r="B3" s="3"/>
      <c r="C3" t="s">
        <v>17</v>
      </c>
      <c r="D3" s="10">
        <v>0.3</v>
      </c>
      <c r="E3" s="2">
        <v>5</v>
      </c>
      <c r="F3" s="15"/>
      <c r="G3" s="21"/>
      <c r="H3" s="10">
        <v>0.3</v>
      </c>
      <c r="I3" s="2">
        <v>8</v>
      </c>
      <c r="J3" s="15"/>
      <c r="L3" s="10">
        <v>0.3</v>
      </c>
      <c r="M3" s="2">
        <v>9</v>
      </c>
      <c r="N3" s="15"/>
      <c r="P3" s="10">
        <v>0.3</v>
      </c>
      <c r="Q3" s="2">
        <v>3</v>
      </c>
      <c r="R3" s="15"/>
      <c r="T3" s="10">
        <v>0.3</v>
      </c>
      <c r="U3" s="2">
        <v>5</v>
      </c>
      <c r="V3" s="15"/>
    </row>
    <row r="4" spans="1:22" x14ac:dyDescent="0.35">
      <c r="A4" s="3"/>
      <c r="B4" s="3"/>
      <c r="C4" t="s">
        <v>41</v>
      </c>
      <c r="D4" s="10">
        <v>0.4</v>
      </c>
      <c r="E4" s="2">
        <v>6</v>
      </c>
      <c r="F4" s="15"/>
      <c r="G4" s="21"/>
      <c r="H4" s="10">
        <v>0.4</v>
      </c>
      <c r="I4" s="2">
        <v>7</v>
      </c>
      <c r="J4" s="15"/>
      <c r="L4" s="10">
        <v>0.4</v>
      </c>
      <c r="M4" s="2">
        <v>10</v>
      </c>
      <c r="N4" s="15"/>
      <c r="P4" s="10">
        <v>0.4</v>
      </c>
      <c r="Q4" s="2">
        <v>6</v>
      </c>
      <c r="R4" s="15"/>
      <c r="T4" s="10">
        <v>0.4</v>
      </c>
      <c r="U4" s="2">
        <v>4</v>
      </c>
      <c r="V4" s="15"/>
    </row>
    <row r="5" spans="1:22" x14ac:dyDescent="0.35">
      <c r="A5" s="3"/>
      <c r="B5" s="3"/>
      <c r="D5" s="27">
        <v>0.3</v>
      </c>
      <c r="E5" s="8">
        <f>(E$2*D2)+(E$3*D3)+(E$4*D4)</f>
        <v>6</v>
      </c>
      <c r="F5" s="18">
        <f>D$5*E5/10</f>
        <v>0.18</v>
      </c>
      <c r="G5" s="21"/>
      <c r="H5" s="27">
        <v>0.3</v>
      </c>
      <c r="I5" s="8">
        <f>(I$2*H2)+(I$3*H3)+(I$4*H4)</f>
        <v>7.9</v>
      </c>
      <c r="J5" s="18">
        <f>H$5*I5/10</f>
        <v>0.23700000000000002</v>
      </c>
      <c r="L5" s="27">
        <v>0.3</v>
      </c>
      <c r="M5" s="8">
        <f>(M$2*L2)+(M$3*L3)+(M$4*L4)</f>
        <v>9.3999999999999986</v>
      </c>
      <c r="N5" s="18">
        <f>L$5*M5/10</f>
        <v>0.28199999999999992</v>
      </c>
      <c r="P5" s="27">
        <v>0.3</v>
      </c>
      <c r="Q5" s="8">
        <f>(Q$2*P2)+(Q$3*P3)+(Q$4*P4)</f>
        <v>3.9000000000000004</v>
      </c>
      <c r="R5" s="18">
        <f>P$5*Q5/10</f>
        <v>0.11700000000000002</v>
      </c>
      <c r="T5" s="27">
        <v>0.3</v>
      </c>
      <c r="U5" s="8">
        <f>(U$2*T2)+(U$3*T3)+(U$4*T4)</f>
        <v>4.9000000000000004</v>
      </c>
      <c r="V5" s="18">
        <f>T$5*U5/10</f>
        <v>0.14699999999999999</v>
      </c>
    </row>
    <row r="6" spans="1:22" x14ac:dyDescent="0.35">
      <c r="A6" s="3" t="s">
        <v>0</v>
      </c>
      <c r="B6" s="3" t="s">
        <v>2</v>
      </c>
      <c r="C6" t="s">
        <v>18</v>
      </c>
      <c r="D6" s="10">
        <v>0.4</v>
      </c>
      <c r="E6" s="2">
        <v>4</v>
      </c>
      <c r="F6" s="19"/>
      <c r="G6" s="21"/>
      <c r="H6" s="10">
        <v>0.4</v>
      </c>
      <c r="I6" s="2">
        <v>5</v>
      </c>
      <c r="J6" s="19"/>
      <c r="L6" s="10">
        <v>0.4</v>
      </c>
      <c r="M6" s="2">
        <v>6</v>
      </c>
      <c r="N6" s="19"/>
      <c r="P6" s="10">
        <v>0.4</v>
      </c>
      <c r="Q6" s="2">
        <v>6</v>
      </c>
      <c r="R6" s="19"/>
      <c r="T6" s="10">
        <v>0.4</v>
      </c>
      <c r="U6" s="2">
        <v>5</v>
      </c>
      <c r="V6" s="19"/>
    </row>
    <row r="7" spans="1:22" x14ac:dyDescent="0.35">
      <c r="A7" s="3"/>
      <c r="B7" s="3"/>
      <c r="C7" t="s">
        <v>19</v>
      </c>
      <c r="D7" s="10">
        <v>0.3</v>
      </c>
      <c r="E7" s="2">
        <v>3</v>
      </c>
      <c r="F7" s="19"/>
      <c r="G7" s="21"/>
      <c r="H7" s="10">
        <v>0.3</v>
      </c>
      <c r="I7" s="2">
        <v>6</v>
      </c>
      <c r="J7" s="19"/>
      <c r="L7" s="10">
        <v>0.3</v>
      </c>
      <c r="M7" s="2">
        <v>3</v>
      </c>
      <c r="N7" s="19"/>
      <c r="P7" s="10">
        <v>0.3</v>
      </c>
      <c r="Q7" s="2">
        <v>4</v>
      </c>
      <c r="R7" s="19"/>
      <c r="T7" s="10">
        <v>0.3</v>
      </c>
      <c r="U7" s="2">
        <v>5</v>
      </c>
      <c r="V7" s="19"/>
    </row>
    <row r="8" spans="1:22" x14ac:dyDescent="0.35">
      <c r="A8" s="3"/>
      <c r="B8" s="3"/>
      <c r="C8" t="s">
        <v>20</v>
      </c>
      <c r="D8" s="10">
        <v>0.3</v>
      </c>
      <c r="E8" s="2">
        <v>3</v>
      </c>
      <c r="F8" s="19"/>
      <c r="G8" s="21"/>
      <c r="H8" s="10">
        <v>0.3</v>
      </c>
      <c r="I8" s="2">
        <v>3</v>
      </c>
      <c r="J8" s="19"/>
      <c r="L8" s="10">
        <v>0.3</v>
      </c>
      <c r="M8" s="2">
        <v>9</v>
      </c>
      <c r="N8" s="19"/>
      <c r="P8" s="10">
        <v>0.3</v>
      </c>
      <c r="Q8" s="2">
        <v>8</v>
      </c>
      <c r="R8" s="19"/>
      <c r="T8" s="10">
        <v>0.3</v>
      </c>
      <c r="U8" s="2">
        <v>3</v>
      </c>
      <c r="V8" s="19"/>
    </row>
    <row r="9" spans="1:22" x14ac:dyDescent="0.35">
      <c r="A9" s="3"/>
      <c r="B9" s="3"/>
      <c r="D9" s="27">
        <v>0.2</v>
      </c>
      <c r="E9" s="8">
        <f>(E$6*D6)+(E$7*D7)+(E$8*D8)</f>
        <v>3.4</v>
      </c>
      <c r="F9" s="18">
        <f>D$9*E9/10</f>
        <v>6.8000000000000005E-2</v>
      </c>
      <c r="G9" s="21"/>
      <c r="H9" s="27">
        <v>0.2</v>
      </c>
      <c r="I9" s="8">
        <f>(I$6*H6)+(I$7*H7)+(I$8*H8)</f>
        <v>4.6999999999999993</v>
      </c>
      <c r="J9" s="18">
        <f>H$9*I9/10</f>
        <v>9.4E-2</v>
      </c>
      <c r="L9" s="27">
        <v>0.2</v>
      </c>
      <c r="M9" s="8">
        <f>(M$6*L6)+(M$7*L7)+(M$8*L8)</f>
        <v>6</v>
      </c>
      <c r="N9" s="18">
        <f>L$9*M9/10</f>
        <v>0.12000000000000002</v>
      </c>
      <c r="P9" s="27">
        <v>0.2</v>
      </c>
      <c r="Q9" s="8">
        <f>(Q$6*P6)+(Q$7*P7)+(Q$8*P8)</f>
        <v>6</v>
      </c>
      <c r="R9" s="18">
        <f>P$9*Q9/10</f>
        <v>0.12000000000000002</v>
      </c>
      <c r="T9" s="27">
        <v>0.2</v>
      </c>
      <c r="U9" s="8">
        <f>(U$6*T6)+(U$7*T7)+(U$8*T8)</f>
        <v>4.4000000000000004</v>
      </c>
      <c r="V9" s="18">
        <f>T$9*U9/10</f>
        <v>8.8000000000000009E-2</v>
      </c>
    </row>
    <row r="10" spans="1:22" x14ac:dyDescent="0.35">
      <c r="A10" s="3" t="s">
        <v>0</v>
      </c>
      <c r="B10" s="3" t="s">
        <v>3</v>
      </c>
      <c r="C10" t="s">
        <v>21</v>
      </c>
      <c r="D10" s="10">
        <v>0.4</v>
      </c>
      <c r="E10" s="2">
        <v>4</v>
      </c>
      <c r="F10" s="19"/>
      <c r="G10" s="21"/>
      <c r="H10" s="10">
        <v>0.4</v>
      </c>
      <c r="I10" s="2">
        <v>6</v>
      </c>
      <c r="J10" s="19"/>
      <c r="L10" s="10">
        <v>0.4</v>
      </c>
      <c r="M10" s="2">
        <v>10</v>
      </c>
      <c r="N10" s="19"/>
      <c r="P10" s="10">
        <v>0.4</v>
      </c>
      <c r="Q10" s="2">
        <v>2</v>
      </c>
      <c r="R10" s="19"/>
      <c r="T10" s="10">
        <v>0.4</v>
      </c>
      <c r="U10" s="2">
        <v>7</v>
      </c>
      <c r="V10" s="19"/>
    </row>
    <row r="11" spans="1:22" x14ac:dyDescent="0.35">
      <c r="A11" s="3"/>
      <c r="B11" s="3"/>
      <c r="C11" t="s">
        <v>22</v>
      </c>
      <c r="D11" s="10">
        <v>0.3</v>
      </c>
      <c r="E11" s="2">
        <v>5</v>
      </c>
      <c r="F11" s="19"/>
      <c r="G11" s="21"/>
      <c r="H11" s="10">
        <v>0.3</v>
      </c>
      <c r="I11" s="2">
        <v>3</v>
      </c>
      <c r="J11" s="19"/>
      <c r="L11" s="10">
        <v>0.3</v>
      </c>
      <c r="M11" s="2">
        <v>9</v>
      </c>
      <c r="N11" s="19"/>
      <c r="P11" s="10">
        <v>0.3</v>
      </c>
      <c r="Q11" s="2">
        <v>3</v>
      </c>
      <c r="R11" s="19"/>
      <c r="T11" s="10">
        <v>0.3</v>
      </c>
      <c r="U11" s="2">
        <v>5</v>
      </c>
      <c r="V11" s="19"/>
    </row>
    <row r="12" spans="1:22" x14ac:dyDescent="0.35">
      <c r="A12" s="3"/>
      <c r="B12" s="3"/>
      <c r="C12" t="s">
        <v>23</v>
      </c>
      <c r="D12" s="10">
        <v>0.3</v>
      </c>
      <c r="E12" s="2">
        <v>7</v>
      </c>
      <c r="F12" s="19"/>
      <c r="G12" s="21"/>
      <c r="H12" s="10">
        <v>0.3</v>
      </c>
      <c r="I12" s="2">
        <v>7</v>
      </c>
      <c r="J12" s="19"/>
      <c r="L12" s="10">
        <v>0.3</v>
      </c>
      <c r="M12" s="2">
        <v>9</v>
      </c>
      <c r="N12" s="19"/>
      <c r="P12" s="10">
        <v>0.3</v>
      </c>
      <c r="Q12" s="2">
        <v>4</v>
      </c>
      <c r="R12" s="19"/>
      <c r="T12" s="10">
        <v>0.3</v>
      </c>
      <c r="U12" s="2">
        <v>4</v>
      </c>
      <c r="V12" s="19"/>
    </row>
    <row r="13" spans="1:22" x14ac:dyDescent="0.35">
      <c r="A13" s="3"/>
      <c r="B13" s="3"/>
      <c r="D13" s="27">
        <v>0.2</v>
      </c>
      <c r="E13" s="8">
        <f>(E$10*D10)+(E$11*D11)+(E$12*D12)</f>
        <v>5.2</v>
      </c>
      <c r="F13" s="18">
        <f>D$13*E13/10</f>
        <v>0.10400000000000001</v>
      </c>
      <c r="G13" s="21"/>
      <c r="H13" s="27">
        <v>0.2</v>
      </c>
      <c r="I13" s="8">
        <f>(I$10*H10)+(I$11*H11)+(I$12*H12)</f>
        <v>5.4</v>
      </c>
      <c r="J13" s="18">
        <f>H$13*I13/10</f>
        <v>0.10800000000000001</v>
      </c>
      <c r="L13" s="27">
        <v>0.2</v>
      </c>
      <c r="M13" s="8">
        <f>(M$10*L10)+(M$11*L11)+(M$12*L12)</f>
        <v>9.3999999999999986</v>
      </c>
      <c r="N13" s="18">
        <f>L$13*M13/10</f>
        <v>0.188</v>
      </c>
      <c r="P13" s="27">
        <v>0.2</v>
      </c>
      <c r="Q13" s="8">
        <f>(Q$10*P10)+(Q$11*P11)+(Q$12*P12)</f>
        <v>2.9</v>
      </c>
      <c r="R13" s="18">
        <f>P$13*Q13/10</f>
        <v>5.7999999999999996E-2</v>
      </c>
      <c r="T13" s="27">
        <v>0.2</v>
      </c>
      <c r="U13" s="8">
        <f>(U$10*T10)+(U$11*T11)+(U$12*T12)</f>
        <v>5.5000000000000009</v>
      </c>
      <c r="V13" s="18">
        <f>T$13*U13/10</f>
        <v>0.11000000000000003</v>
      </c>
    </row>
    <row r="14" spans="1:22" x14ac:dyDescent="0.35">
      <c r="A14" s="3" t="s">
        <v>0</v>
      </c>
      <c r="B14" s="3" t="s">
        <v>4</v>
      </c>
      <c r="C14" t="s">
        <v>24</v>
      </c>
      <c r="D14" s="10">
        <v>0.4</v>
      </c>
      <c r="E14" s="2">
        <v>7</v>
      </c>
      <c r="F14" s="19"/>
      <c r="G14" s="21"/>
      <c r="H14" s="10">
        <v>0.4</v>
      </c>
      <c r="I14" s="2">
        <v>8</v>
      </c>
      <c r="J14" s="19"/>
      <c r="L14" s="10">
        <v>0.4</v>
      </c>
      <c r="M14" s="2">
        <v>10</v>
      </c>
      <c r="N14" s="19"/>
      <c r="P14" s="10">
        <v>0.4</v>
      </c>
      <c r="Q14" s="2">
        <v>9</v>
      </c>
      <c r="R14" s="19"/>
      <c r="T14" s="10">
        <v>0.4</v>
      </c>
      <c r="U14" s="2">
        <v>8</v>
      </c>
      <c r="V14" s="19"/>
    </row>
    <row r="15" spans="1:22" x14ac:dyDescent="0.35">
      <c r="A15" s="3"/>
      <c r="B15" s="3"/>
      <c r="C15" t="s">
        <v>25</v>
      </c>
      <c r="D15" s="10">
        <v>0.3</v>
      </c>
      <c r="E15" s="2">
        <v>6</v>
      </c>
      <c r="F15" s="19"/>
      <c r="G15" s="21"/>
      <c r="H15" s="10">
        <v>0.3</v>
      </c>
      <c r="I15" s="2">
        <v>7</v>
      </c>
      <c r="J15" s="19"/>
      <c r="L15" s="10">
        <v>0.3</v>
      </c>
      <c r="M15" s="2">
        <v>8</v>
      </c>
      <c r="N15" s="19"/>
      <c r="P15" s="10">
        <v>0.3</v>
      </c>
      <c r="Q15" s="2">
        <v>3</v>
      </c>
      <c r="R15" s="19"/>
      <c r="T15" s="10">
        <v>0.3</v>
      </c>
      <c r="U15" s="2">
        <v>8</v>
      </c>
      <c r="V15" s="19"/>
    </row>
    <row r="16" spans="1:22" x14ac:dyDescent="0.35">
      <c r="A16" s="3"/>
      <c r="B16" s="3"/>
      <c r="C16" t="s">
        <v>26</v>
      </c>
      <c r="D16" s="10">
        <v>0.3</v>
      </c>
      <c r="E16" s="2">
        <v>4</v>
      </c>
      <c r="F16" s="19"/>
      <c r="G16" s="21"/>
      <c r="H16" s="10">
        <v>0.3</v>
      </c>
      <c r="I16" s="2">
        <v>6</v>
      </c>
      <c r="J16" s="19"/>
      <c r="L16" s="10">
        <v>0.3</v>
      </c>
      <c r="M16" s="2">
        <v>6</v>
      </c>
      <c r="N16" s="19"/>
      <c r="P16" s="10">
        <v>0.3</v>
      </c>
      <c r="Q16" s="2">
        <v>4</v>
      </c>
      <c r="R16" s="19"/>
      <c r="T16" s="10">
        <v>0.3</v>
      </c>
      <c r="U16" s="2">
        <v>10</v>
      </c>
      <c r="V16" s="19"/>
    </row>
    <row r="17" spans="1:22" x14ac:dyDescent="0.35">
      <c r="A17" s="3"/>
      <c r="B17" s="3"/>
      <c r="D17" s="27">
        <v>0.15</v>
      </c>
      <c r="E17" s="8">
        <f>(E$14*D14)+(E$15*D15)+(E$16*D16)</f>
        <v>5.8</v>
      </c>
      <c r="F17" s="18">
        <f>D$17*E17/10</f>
        <v>8.6999999999999994E-2</v>
      </c>
      <c r="G17" s="21"/>
      <c r="H17" s="27">
        <v>0.15</v>
      </c>
      <c r="I17" s="8">
        <f>(I$14*H14)+(I$15*H15)+(I$16*H16)</f>
        <v>7.1000000000000005</v>
      </c>
      <c r="J17" s="18">
        <f>H$17*I17/10</f>
        <v>0.1065</v>
      </c>
      <c r="L17" s="27">
        <v>0.15</v>
      </c>
      <c r="M17" s="8">
        <f>(M$14*L14)+(M$15*L15)+(M$16*L16)</f>
        <v>8.1999999999999993</v>
      </c>
      <c r="N17" s="18">
        <f>L$17*M17/10</f>
        <v>0.12299999999999997</v>
      </c>
      <c r="P17" s="27">
        <v>0.15</v>
      </c>
      <c r="Q17" s="8">
        <f>(Q$14*P14)+(Q$15*P15)+(Q$16*P16)</f>
        <v>5.7</v>
      </c>
      <c r="R17" s="18">
        <f>P$17*Q17/10</f>
        <v>8.5499999999999993E-2</v>
      </c>
      <c r="T17" s="27">
        <v>0.15</v>
      </c>
      <c r="U17" s="8">
        <f>(U$14*T14)+(U$15*T15)+(U$16*T16)</f>
        <v>8.6</v>
      </c>
      <c r="V17" s="18">
        <f>T$17*U17/10</f>
        <v>0.12899999999999998</v>
      </c>
    </row>
    <row r="18" spans="1:22" x14ac:dyDescent="0.35">
      <c r="A18" s="3" t="s">
        <v>0</v>
      </c>
      <c r="B18" s="3" t="s">
        <v>5</v>
      </c>
      <c r="C18" t="s">
        <v>42</v>
      </c>
      <c r="D18" s="10">
        <v>0.4</v>
      </c>
      <c r="E18" s="2">
        <v>8</v>
      </c>
      <c r="F18" s="19"/>
      <c r="G18" s="21"/>
      <c r="H18" s="10">
        <v>0.4</v>
      </c>
      <c r="I18" s="2">
        <v>9</v>
      </c>
      <c r="J18" s="19"/>
      <c r="L18" s="10">
        <v>0.4</v>
      </c>
      <c r="M18" s="2">
        <v>8</v>
      </c>
      <c r="N18" s="19"/>
      <c r="P18" s="10">
        <v>0.4</v>
      </c>
      <c r="Q18" s="2">
        <v>7</v>
      </c>
      <c r="R18" s="19"/>
      <c r="T18" s="10">
        <v>0.4</v>
      </c>
      <c r="U18" s="2">
        <v>6</v>
      </c>
      <c r="V18" s="19"/>
    </row>
    <row r="19" spans="1:22" x14ac:dyDescent="0.35">
      <c r="C19" t="s">
        <v>27</v>
      </c>
      <c r="D19" s="10">
        <v>0.3</v>
      </c>
      <c r="E19" s="2">
        <v>5</v>
      </c>
      <c r="F19" s="19"/>
      <c r="G19" s="21"/>
      <c r="H19" s="10">
        <v>0.3</v>
      </c>
      <c r="I19" s="2">
        <v>3</v>
      </c>
      <c r="J19" s="19"/>
      <c r="L19" s="10">
        <v>0.3</v>
      </c>
      <c r="M19" s="2">
        <v>7</v>
      </c>
      <c r="N19" s="19"/>
      <c r="P19" s="10">
        <v>0.3</v>
      </c>
      <c r="Q19" s="2">
        <v>2</v>
      </c>
      <c r="R19" s="19"/>
      <c r="T19" s="10">
        <v>0.3</v>
      </c>
      <c r="U19" s="2">
        <v>9</v>
      </c>
      <c r="V19" s="19"/>
    </row>
    <row r="20" spans="1:22" x14ac:dyDescent="0.35">
      <c r="C20" t="s">
        <v>28</v>
      </c>
      <c r="D20" s="10">
        <v>0.3</v>
      </c>
      <c r="E20" s="2">
        <v>4</v>
      </c>
      <c r="F20" s="19"/>
      <c r="G20" s="21"/>
      <c r="H20" s="10">
        <v>0.3</v>
      </c>
      <c r="I20" s="2">
        <v>2</v>
      </c>
      <c r="J20" s="19"/>
      <c r="L20" s="10">
        <v>0.3</v>
      </c>
      <c r="M20" s="2">
        <v>8</v>
      </c>
      <c r="N20" s="19"/>
      <c r="P20" s="10">
        <v>0.3</v>
      </c>
      <c r="Q20" s="2">
        <v>4</v>
      </c>
      <c r="R20" s="19"/>
      <c r="T20" s="10">
        <v>0.3</v>
      </c>
      <c r="U20" s="2">
        <v>4</v>
      </c>
      <c r="V20" s="19"/>
    </row>
    <row r="21" spans="1:22" x14ac:dyDescent="0.35">
      <c r="D21" s="27">
        <v>0.15</v>
      </c>
      <c r="E21" s="8">
        <f>(E$18*D18)+(E$19*D19)+(E$20*D20)</f>
        <v>5.9</v>
      </c>
      <c r="F21" s="18">
        <f>D$21*E21/10</f>
        <v>8.8499999999999995E-2</v>
      </c>
      <c r="G21" s="21"/>
      <c r="H21" s="27">
        <v>0.15</v>
      </c>
      <c r="I21" s="8">
        <f>(I$18*H18)+(I$19*H19)+(I$20*H20)</f>
        <v>5.0999999999999996</v>
      </c>
      <c r="J21" s="18">
        <f>H$21*I21/10</f>
        <v>7.6499999999999985E-2</v>
      </c>
      <c r="L21" s="27">
        <v>0.15</v>
      </c>
      <c r="M21" s="8">
        <f>(M$18*L18)+(M$19*L19)+(M$20*L20)</f>
        <v>7.7000000000000011</v>
      </c>
      <c r="N21" s="18">
        <f>L$21*M21/10</f>
        <v>0.11550000000000001</v>
      </c>
      <c r="P21" s="27">
        <v>0.15</v>
      </c>
      <c r="Q21" s="8">
        <f>(Q$18*P18)+(Q$19*P19)+(Q$20*P20)</f>
        <v>4.6000000000000005</v>
      </c>
      <c r="R21" s="18">
        <f>P$21*Q21/10</f>
        <v>6.9000000000000006E-2</v>
      </c>
      <c r="T21" s="27">
        <v>0.15</v>
      </c>
      <c r="U21" s="8">
        <f>(U$18*T18)+(U$19*T19)+(U$20*T20)</f>
        <v>6.3</v>
      </c>
      <c r="V21" s="18">
        <f>T$21*U21/10</f>
        <v>9.4500000000000001E-2</v>
      </c>
    </row>
    <row r="22" spans="1:22" x14ac:dyDescent="0.35">
      <c r="D22" s="11"/>
      <c r="F22" s="15"/>
      <c r="G22" s="21"/>
      <c r="H22" s="11"/>
      <c r="J22" s="15"/>
      <c r="L22" s="11"/>
      <c r="N22" s="15"/>
      <c r="P22" s="11"/>
      <c r="R22" s="15"/>
      <c r="T22" s="11"/>
      <c r="V22" s="15"/>
    </row>
    <row r="23" spans="1:22" ht="15" thickBot="1" x14ac:dyDescent="0.4">
      <c r="D23" s="12"/>
      <c r="E23" s="14"/>
      <c r="F23" s="17">
        <f>SUM(F2:F21)</f>
        <v>0.52749999999999997</v>
      </c>
      <c r="G23" s="21"/>
      <c r="H23" s="12"/>
      <c r="I23" s="14"/>
      <c r="J23" s="17">
        <f>SUM(J2:J21)</f>
        <v>0.62200000000000011</v>
      </c>
      <c r="L23" s="12"/>
      <c r="M23" s="14"/>
      <c r="N23" s="17">
        <f>SUM(N2:N21)</f>
        <v>0.8284999999999999</v>
      </c>
      <c r="P23" s="12"/>
      <c r="Q23" s="14"/>
      <c r="R23" s="17">
        <f>SUM(R2:R21)</f>
        <v>0.44950000000000007</v>
      </c>
      <c r="T23" s="12"/>
      <c r="U23" s="14"/>
      <c r="V23" s="17">
        <f>SUM(V2:V21)</f>
        <v>0.56850000000000001</v>
      </c>
    </row>
  </sheetData>
  <mergeCells count="5">
    <mergeCell ref="E1:F1"/>
    <mergeCell ref="I1:J1"/>
    <mergeCell ref="M1:N1"/>
    <mergeCell ref="Q1:R1"/>
    <mergeCell ref="U1:V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C207-37EB-4839-A8AE-8F7B7DE310FA}">
  <dimension ref="A1:V23"/>
  <sheetViews>
    <sheetView zoomScale="70" zoomScaleNormal="70" workbookViewId="0">
      <selection activeCell="C21" sqref="C21"/>
    </sheetView>
  </sheetViews>
  <sheetFormatPr defaultRowHeight="14.5" x14ac:dyDescent="0.35"/>
  <cols>
    <col min="1" max="1" width="19.453125" customWidth="1"/>
    <col min="2" max="2" width="25.81640625" customWidth="1"/>
    <col min="3" max="3" width="60.81640625" customWidth="1"/>
    <col min="4" max="4" width="9.08984375" style="2" customWidth="1"/>
    <col min="5" max="5" width="9.6328125" style="2" customWidth="1"/>
    <col min="6" max="6" width="8.7265625" style="2"/>
    <col min="8" max="8" width="8.7265625" style="2"/>
    <col min="9" max="9" width="9.7265625" style="2" customWidth="1"/>
    <col min="10" max="10" width="8.7265625" style="2"/>
  </cols>
  <sheetData>
    <row r="1" spans="1:22" x14ac:dyDescent="0.35">
      <c r="A1" s="22" t="s">
        <v>12</v>
      </c>
      <c r="B1" s="22" t="s">
        <v>13</v>
      </c>
      <c r="C1" s="22" t="s">
        <v>14</v>
      </c>
      <c r="D1" s="9" t="s">
        <v>15</v>
      </c>
      <c r="E1" s="29" t="s">
        <v>45</v>
      </c>
      <c r="F1" s="30"/>
      <c r="H1" s="9" t="s">
        <v>15</v>
      </c>
      <c r="I1" s="29" t="s">
        <v>46</v>
      </c>
      <c r="J1" s="30"/>
      <c r="L1" s="9" t="s">
        <v>15</v>
      </c>
      <c r="M1" s="29" t="s">
        <v>47</v>
      </c>
      <c r="N1" s="30"/>
      <c r="P1" s="9" t="s">
        <v>15</v>
      </c>
      <c r="Q1" s="29" t="s">
        <v>48</v>
      </c>
      <c r="R1" s="30"/>
      <c r="T1" s="9" t="s">
        <v>15</v>
      </c>
      <c r="U1" s="29" t="s">
        <v>49</v>
      </c>
      <c r="V1" s="30"/>
    </row>
    <row r="2" spans="1:22" x14ac:dyDescent="0.35">
      <c r="A2" s="3" t="s">
        <v>6</v>
      </c>
      <c r="B2" s="3" t="s">
        <v>10</v>
      </c>
      <c r="C2" t="s">
        <v>29</v>
      </c>
      <c r="D2" s="10">
        <v>0.4</v>
      </c>
      <c r="E2" s="2">
        <v>8</v>
      </c>
      <c r="F2" s="15"/>
      <c r="H2" s="10">
        <v>0.4</v>
      </c>
      <c r="I2" s="2">
        <v>7</v>
      </c>
      <c r="J2" s="15"/>
      <c r="L2" s="10">
        <v>0.4</v>
      </c>
      <c r="M2" s="2">
        <v>8</v>
      </c>
      <c r="N2" s="15"/>
      <c r="P2" s="10">
        <v>0.4</v>
      </c>
      <c r="Q2" s="2">
        <v>6</v>
      </c>
      <c r="R2" s="15"/>
      <c r="T2" s="10">
        <v>0.4</v>
      </c>
      <c r="U2" s="2">
        <v>7</v>
      </c>
      <c r="V2" s="15"/>
    </row>
    <row r="3" spans="1:22" x14ac:dyDescent="0.35">
      <c r="A3" s="3"/>
      <c r="B3" s="3"/>
      <c r="C3" t="s">
        <v>30</v>
      </c>
      <c r="D3" s="10">
        <v>0.3</v>
      </c>
      <c r="E3" s="2">
        <v>3</v>
      </c>
      <c r="F3" s="15"/>
      <c r="H3" s="10">
        <v>0.3</v>
      </c>
      <c r="I3" s="2">
        <v>9</v>
      </c>
      <c r="J3" s="15"/>
      <c r="L3" s="10">
        <v>0.3</v>
      </c>
      <c r="M3" s="2">
        <v>7</v>
      </c>
      <c r="N3" s="15"/>
      <c r="P3" s="10">
        <v>0.3</v>
      </c>
      <c r="Q3" s="2">
        <v>5</v>
      </c>
      <c r="R3" s="15"/>
      <c r="T3" s="10">
        <v>0.3</v>
      </c>
      <c r="U3" s="2">
        <v>2</v>
      </c>
      <c r="V3" s="15"/>
    </row>
    <row r="4" spans="1:22" x14ac:dyDescent="0.35">
      <c r="A4" s="3"/>
      <c r="B4" s="3"/>
      <c r="C4" t="s">
        <v>56</v>
      </c>
      <c r="D4" s="10">
        <v>0.3</v>
      </c>
      <c r="E4" s="2">
        <v>8</v>
      </c>
      <c r="F4" s="15"/>
      <c r="H4" s="10">
        <v>0.3</v>
      </c>
      <c r="I4" s="2">
        <v>8</v>
      </c>
      <c r="J4" s="15"/>
      <c r="L4" s="10">
        <v>0.3</v>
      </c>
      <c r="M4" s="2">
        <v>4</v>
      </c>
      <c r="N4" s="15"/>
      <c r="P4" s="10">
        <v>0.3</v>
      </c>
      <c r="Q4" s="2">
        <v>6</v>
      </c>
      <c r="R4" s="15"/>
      <c r="T4" s="10">
        <v>0.3</v>
      </c>
      <c r="U4" s="2">
        <v>5</v>
      </c>
      <c r="V4" s="15"/>
    </row>
    <row r="5" spans="1:22" x14ac:dyDescent="0.35">
      <c r="A5" s="3"/>
      <c r="B5" s="3"/>
      <c r="D5" s="27">
        <v>0.25</v>
      </c>
      <c r="E5" s="13">
        <f>(D2*E2)+(D3*E3)+(D4*E4)</f>
        <v>6.5</v>
      </c>
      <c r="F5" s="18">
        <f>D5*E5/10</f>
        <v>0.16250000000000001</v>
      </c>
      <c r="H5" s="27">
        <v>0.25</v>
      </c>
      <c r="I5" s="13">
        <f>(H2*I2)+(H3*I3)+(H4*I4)</f>
        <v>7.9</v>
      </c>
      <c r="J5" s="18">
        <f>H5*I5/10</f>
        <v>0.19750000000000001</v>
      </c>
      <c r="L5" s="27">
        <v>0.25</v>
      </c>
      <c r="M5" s="13">
        <f>(L2*M2)+(L3*M3)+(L4*M4)</f>
        <v>6.5000000000000009</v>
      </c>
      <c r="N5" s="18">
        <f>L5*M5/10</f>
        <v>0.16250000000000003</v>
      </c>
      <c r="P5" s="27">
        <v>0.25</v>
      </c>
      <c r="Q5" s="13">
        <f>(P2*Q2)+(P3*Q3)+(P4*Q4)</f>
        <v>5.7</v>
      </c>
      <c r="R5" s="18">
        <f>P5*Q5/10</f>
        <v>0.14250000000000002</v>
      </c>
      <c r="T5" s="27">
        <v>0.25</v>
      </c>
      <c r="U5" s="13">
        <f>(T2*U2)+(T3*U3)+(T4*U4)</f>
        <v>4.9000000000000004</v>
      </c>
      <c r="V5" s="18">
        <f>T5*U5/10</f>
        <v>0.12250000000000001</v>
      </c>
    </row>
    <row r="6" spans="1:22" x14ac:dyDescent="0.35">
      <c r="A6" s="3" t="s">
        <v>6</v>
      </c>
      <c r="B6" s="3" t="s">
        <v>9</v>
      </c>
      <c r="C6" t="s">
        <v>31</v>
      </c>
      <c r="D6" s="10">
        <v>0.4</v>
      </c>
      <c r="E6" s="2">
        <v>8</v>
      </c>
      <c r="F6" s="19"/>
      <c r="H6" s="10">
        <v>0.4</v>
      </c>
      <c r="I6" s="2">
        <v>7</v>
      </c>
      <c r="J6" s="19"/>
      <c r="L6" s="10">
        <v>0.4</v>
      </c>
      <c r="M6" s="2">
        <v>6</v>
      </c>
      <c r="N6" s="19"/>
      <c r="P6" s="10">
        <v>0.4</v>
      </c>
      <c r="Q6" s="2">
        <v>3</v>
      </c>
      <c r="R6" s="19"/>
      <c r="T6" s="10">
        <v>0.4</v>
      </c>
      <c r="U6" s="2">
        <v>5</v>
      </c>
      <c r="V6" s="19"/>
    </row>
    <row r="7" spans="1:22" x14ac:dyDescent="0.35">
      <c r="A7" s="3"/>
      <c r="B7" s="3"/>
      <c r="C7" t="s">
        <v>32</v>
      </c>
      <c r="D7" s="10">
        <v>0.3</v>
      </c>
      <c r="E7" s="2">
        <v>7</v>
      </c>
      <c r="F7" s="19"/>
      <c r="H7" s="10">
        <v>0.3</v>
      </c>
      <c r="I7" s="2">
        <v>6</v>
      </c>
      <c r="J7" s="19"/>
      <c r="L7" s="10">
        <v>0.3</v>
      </c>
      <c r="M7" s="2">
        <v>5</v>
      </c>
      <c r="N7" s="19"/>
      <c r="P7" s="10">
        <v>0.3</v>
      </c>
      <c r="Q7" s="2">
        <v>3</v>
      </c>
      <c r="R7" s="19"/>
      <c r="T7" s="10">
        <v>0.3</v>
      </c>
      <c r="U7" s="2">
        <v>3</v>
      </c>
      <c r="V7" s="19"/>
    </row>
    <row r="8" spans="1:22" x14ac:dyDescent="0.35">
      <c r="A8" s="3"/>
      <c r="B8" s="3"/>
      <c r="C8" t="s">
        <v>33</v>
      </c>
      <c r="D8" s="10">
        <v>0.3</v>
      </c>
      <c r="E8" s="2">
        <v>2</v>
      </c>
      <c r="F8" s="19"/>
      <c r="H8" s="10">
        <v>0.3</v>
      </c>
      <c r="I8" s="2">
        <v>9</v>
      </c>
      <c r="J8" s="19"/>
      <c r="L8" s="10">
        <v>0.3</v>
      </c>
      <c r="M8" s="2">
        <v>3</v>
      </c>
      <c r="N8" s="19"/>
      <c r="P8" s="10">
        <v>0.3</v>
      </c>
      <c r="Q8" s="2">
        <v>4</v>
      </c>
      <c r="R8" s="19"/>
      <c r="T8" s="10">
        <v>0.3</v>
      </c>
      <c r="U8" s="2">
        <v>4</v>
      </c>
      <c r="V8" s="19"/>
    </row>
    <row r="9" spans="1:22" x14ac:dyDescent="0.35">
      <c r="A9" s="3"/>
      <c r="B9" s="3"/>
      <c r="D9" s="27">
        <v>0.25</v>
      </c>
      <c r="E9" s="13">
        <f>(D6*E6)+(D7*E7)+(D8*E8)</f>
        <v>5.9</v>
      </c>
      <c r="F9" s="18">
        <f>D9*E9/10</f>
        <v>0.14750000000000002</v>
      </c>
      <c r="H9" s="27">
        <v>0.25</v>
      </c>
      <c r="I9" s="13">
        <f>(H6*I6)+(H7*I7)+(H8*I8)</f>
        <v>7.2999999999999989</v>
      </c>
      <c r="J9" s="18">
        <f>H9*I9/10</f>
        <v>0.18249999999999997</v>
      </c>
      <c r="L9" s="27">
        <v>0.25</v>
      </c>
      <c r="M9" s="13">
        <f>(L6*M6)+(L7*M7)+(L8*M8)</f>
        <v>4.8000000000000007</v>
      </c>
      <c r="N9" s="18">
        <f>L9*M9/10</f>
        <v>0.12000000000000002</v>
      </c>
      <c r="P9" s="27">
        <v>0.25</v>
      </c>
      <c r="Q9" s="13">
        <f>(P6*Q6)+(P7*Q7)+(P8*Q8)</f>
        <v>3.3</v>
      </c>
      <c r="R9" s="18">
        <f>P9*Q9/10</f>
        <v>8.249999999999999E-2</v>
      </c>
      <c r="T9" s="27">
        <v>0.25</v>
      </c>
      <c r="U9" s="13">
        <f>(T6*U6)+(T7*U7)+(T8*U8)</f>
        <v>4.0999999999999996</v>
      </c>
      <c r="V9" s="18">
        <f>T9*U9/10</f>
        <v>0.10249999999999999</v>
      </c>
    </row>
    <row r="10" spans="1:22" x14ac:dyDescent="0.35">
      <c r="A10" s="3" t="s">
        <v>6</v>
      </c>
      <c r="B10" s="3" t="s">
        <v>8</v>
      </c>
      <c r="C10" t="s">
        <v>34</v>
      </c>
      <c r="D10" s="10">
        <v>0.4</v>
      </c>
      <c r="E10" s="2">
        <v>6</v>
      </c>
      <c r="F10" s="19"/>
      <c r="H10" s="10">
        <v>0.4</v>
      </c>
      <c r="I10" s="2">
        <v>6</v>
      </c>
      <c r="J10" s="19"/>
      <c r="L10" s="10">
        <v>0.4</v>
      </c>
      <c r="M10" s="2">
        <v>7</v>
      </c>
      <c r="N10" s="19"/>
      <c r="P10" s="10">
        <v>0.4</v>
      </c>
      <c r="Q10" s="2">
        <v>3</v>
      </c>
      <c r="R10" s="19"/>
      <c r="T10" s="10">
        <v>0.4</v>
      </c>
      <c r="U10" s="2">
        <v>8</v>
      </c>
      <c r="V10" s="19"/>
    </row>
    <row r="11" spans="1:22" x14ac:dyDescent="0.35">
      <c r="A11" s="3"/>
      <c r="B11" s="3"/>
      <c r="C11" t="s">
        <v>35</v>
      </c>
      <c r="D11" s="10">
        <v>0.3</v>
      </c>
      <c r="E11" s="2">
        <v>8</v>
      </c>
      <c r="F11" s="19"/>
      <c r="H11" s="10">
        <v>0.3</v>
      </c>
      <c r="I11" s="2">
        <v>4</v>
      </c>
      <c r="J11" s="19"/>
      <c r="L11" s="10">
        <v>0.3</v>
      </c>
      <c r="M11" s="2">
        <v>6</v>
      </c>
      <c r="N11" s="19"/>
      <c r="P11" s="10">
        <v>0.3</v>
      </c>
      <c r="Q11" s="2">
        <v>5</v>
      </c>
      <c r="R11" s="19"/>
      <c r="T11" s="10">
        <v>0.3</v>
      </c>
      <c r="U11" s="2">
        <v>2</v>
      </c>
      <c r="V11" s="19"/>
    </row>
    <row r="12" spans="1:22" x14ac:dyDescent="0.35">
      <c r="A12" s="3"/>
      <c r="B12" s="3"/>
      <c r="C12" t="s">
        <v>36</v>
      </c>
      <c r="D12" s="10">
        <v>0.3</v>
      </c>
      <c r="E12" s="2">
        <v>9</v>
      </c>
      <c r="F12" s="19"/>
      <c r="H12" s="10">
        <v>0.3</v>
      </c>
      <c r="I12" s="2">
        <v>7</v>
      </c>
      <c r="J12" s="19"/>
      <c r="L12" s="10">
        <v>0.3</v>
      </c>
      <c r="M12" s="2">
        <v>2</v>
      </c>
      <c r="N12" s="19"/>
      <c r="P12" s="10">
        <v>0.3</v>
      </c>
      <c r="Q12" s="2">
        <v>5</v>
      </c>
      <c r="R12" s="19"/>
      <c r="T12" s="10">
        <v>0.3</v>
      </c>
      <c r="U12" s="2">
        <v>2</v>
      </c>
      <c r="V12" s="19"/>
    </row>
    <row r="13" spans="1:22" x14ac:dyDescent="0.35">
      <c r="A13" s="3"/>
      <c r="B13" s="3"/>
      <c r="D13" s="27">
        <v>0.2</v>
      </c>
      <c r="E13" s="13">
        <f>(D10*E10)+(D11*E11)+(D12*E12)</f>
        <v>7.5</v>
      </c>
      <c r="F13" s="18">
        <f>D13*E13/10</f>
        <v>0.15</v>
      </c>
      <c r="H13" s="27">
        <v>0.2</v>
      </c>
      <c r="I13" s="13">
        <f>(H10*I10)+(H11*I11)+(H12*I12)</f>
        <v>5.7000000000000011</v>
      </c>
      <c r="J13" s="18">
        <f>H13*I13/10</f>
        <v>0.11400000000000003</v>
      </c>
      <c r="L13" s="27">
        <v>0.2</v>
      </c>
      <c r="M13" s="13">
        <f>(L10*M10)+(L11*M11)+(L12*M12)</f>
        <v>5.1999999999999993</v>
      </c>
      <c r="N13" s="18">
        <f>L13*M13/10</f>
        <v>0.10399999999999998</v>
      </c>
      <c r="P13" s="27">
        <v>0.2</v>
      </c>
      <c r="Q13" s="13">
        <f>(P10*Q10)+(P11*Q11)+(P12*Q12)</f>
        <v>4.2</v>
      </c>
      <c r="R13" s="18">
        <f>P13*Q13/10</f>
        <v>8.4000000000000005E-2</v>
      </c>
      <c r="T13" s="27">
        <v>0.2</v>
      </c>
      <c r="U13" s="13">
        <f>(T10*U10)+(T11*U11)+(T12*U12)</f>
        <v>4.4000000000000004</v>
      </c>
      <c r="V13" s="18">
        <f>T13*U13/10</f>
        <v>8.8000000000000009E-2</v>
      </c>
    </row>
    <row r="14" spans="1:22" x14ac:dyDescent="0.35">
      <c r="A14" s="3" t="s">
        <v>6</v>
      </c>
      <c r="B14" s="3" t="s">
        <v>11</v>
      </c>
      <c r="C14" t="s">
        <v>43</v>
      </c>
      <c r="D14" s="10">
        <v>0.4</v>
      </c>
      <c r="E14" s="2">
        <v>3</v>
      </c>
      <c r="F14" s="19"/>
      <c r="H14" s="10">
        <v>0.4</v>
      </c>
      <c r="I14" s="2">
        <v>8</v>
      </c>
      <c r="J14" s="19"/>
      <c r="L14" s="10">
        <v>0.4</v>
      </c>
      <c r="M14" s="2">
        <v>8</v>
      </c>
      <c r="N14" s="19"/>
      <c r="P14" s="10">
        <v>0.4</v>
      </c>
      <c r="Q14" s="2">
        <v>5</v>
      </c>
      <c r="R14" s="19"/>
      <c r="T14" s="10">
        <v>0.4</v>
      </c>
      <c r="U14" s="2">
        <v>8</v>
      </c>
      <c r="V14" s="19"/>
    </row>
    <row r="15" spans="1:22" x14ac:dyDescent="0.35">
      <c r="A15" s="3"/>
      <c r="B15" s="3"/>
      <c r="C15" t="s">
        <v>37</v>
      </c>
      <c r="D15" s="10">
        <v>0.3</v>
      </c>
      <c r="E15" s="2">
        <v>8</v>
      </c>
      <c r="F15" s="19"/>
      <c r="H15" s="10">
        <v>0.3</v>
      </c>
      <c r="I15" s="2">
        <v>3</v>
      </c>
      <c r="J15" s="19"/>
      <c r="L15" s="10">
        <v>0.3</v>
      </c>
      <c r="M15" s="2">
        <v>9</v>
      </c>
      <c r="N15" s="19"/>
      <c r="P15" s="10">
        <v>0.3</v>
      </c>
      <c r="Q15" s="2">
        <v>2</v>
      </c>
      <c r="R15" s="19"/>
      <c r="T15" s="10">
        <v>0.3</v>
      </c>
      <c r="U15" s="2">
        <v>4</v>
      </c>
      <c r="V15" s="19"/>
    </row>
    <row r="16" spans="1:22" x14ac:dyDescent="0.35">
      <c r="A16" s="3"/>
      <c r="B16" s="3"/>
      <c r="C16" t="s">
        <v>38</v>
      </c>
      <c r="D16" s="10">
        <v>0.3</v>
      </c>
      <c r="E16" s="2">
        <v>6</v>
      </c>
      <c r="F16" s="19"/>
      <c r="H16" s="10">
        <v>0.3</v>
      </c>
      <c r="I16" s="2">
        <v>7</v>
      </c>
      <c r="J16" s="19"/>
      <c r="L16" s="10">
        <v>0.3</v>
      </c>
      <c r="M16" s="2">
        <v>7</v>
      </c>
      <c r="N16" s="19"/>
      <c r="P16" s="10">
        <v>0.3</v>
      </c>
      <c r="Q16" s="2">
        <v>3</v>
      </c>
      <c r="R16" s="19"/>
      <c r="T16" s="10">
        <v>0.3</v>
      </c>
      <c r="U16" s="2">
        <v>7</v>
      </c>
      <c r="V16" s="19"/>
    </row>
    <row r="17" spans="1:22" x14ac:dyDescent="0.35">
      <c r="A17" s="3"/>
      <c r="B17" s="3"/>
      <c r="D17" s="27">
        <v>0.15</v>
      </c>
      <c r="E17" s="13">
        <f>(D14*E14)+(D15*E15)+(D16*E16)</f>
        <v>5.4</v>
      </c>
      <c r="F17" s="18">
        <f>D17*E17/10</f>
        <v>8.1000000000000003E-2</v>
      </c>
      <c r="H17" s="27">
        <v>0.15</v>
      </c>
      <c r="I17" s="13">
        <f>(H14*I14)+(H15*I15)+(H16*I16)</f>
        <v>6.1999999999999993</v>
      </c>
      <c r="J17" s="18">
        <f>H17*I17/10</f>
        <v>9.2999999999999985E-2</v>
      </c>
      <c r="L17" s="27">
        <v>0.15</v>
      </c>
      <c r="M17" s="13">
        <f>(L14*M14)+(L15*M15)+(L16*M16)</f>
        <v>8</v>
      </c>
      <c r="N17" s="18">
        <f>L17*M17/10</f>
        <v>0.12</v>
      </c>
      <c r="P17" s="27">
        <v>0.15</v>
      </c>
      <c r="Q17" s="13">
        <f>(P14*Q14)+(P15*Q15)+(P16*Q16)</f>
        <v>3.5</v>
      </c>
      <c r="R17" s="18">
        <f>P17*Q17/10</f>
        <v>5.2500000000000005E-2</v>
      </c>
      <c r="T17" s="27">
        <v>0.15</v>
      </c>
      <c r="U17" s="13">
        <f>(T14*U14)+(T15*U15)+(T16*U16)</f>
        <v>6.5</v>
      </c>
      <c r="V17" s="18">
        <f>T17*U17/10</f>
        <v>9.7500000000000003E-2</v>
      </c>
    </row>
    <row r="18" spans="1:22" x14ac:dyDescent="0.35">
      <c r="A18" s="3" t="s">
        <v>6</v>
      </c>
      <c r="B18" s="3" t="s">
        <v>7</v>
      </c>
      <c r="C18" t="s">
        <v>44</v>
      </c>
      <c r="D18" s="10">
        <v>0.4</v>
      </c>
      <c r="E18" s="2">
        <v>9</v>
      </c>
      <c r="F18" s="19"/>
      <c r="H18" s="10">
        <v>0.4</v>
      </c>
      <c r="I18" s="2">
        <v>9</v>
      </c>
      <c r="J18" s="19"/>
      <c r="L18" s="10">
        <v>0.4</v>
      </c>
      <c r="M18" s="2">
        <v>8</v>
      </c>
      <c r="N18" s="19"/>
      <c r="P18" s="10">
        <v>0.4</v>
      </c>
      <c r="Q18" s="2">
        <v>5</v>
      </c>
      <c r="R18" s="19"/>
      <c r="T18" s="10">
        <v>0.4</v>
      </c>
      <c r="U18" s="2">
        <v>4</v>
      </c>
      <c r="V18" s="19"/>
    </row>
    <row r="19" spans="1:22" x14ac:dyDescent="0.35">
      <c r="C19" t="s">
        <v>39</v>
      </c>
      <c r="D19" s="10">
        <v>0.3</v>
      </c>
      <c r="E19" s="2">
        <v>3</v>
      </c>
      <c r="F19" s="19"/>
      <c r="H19" s="10">
        <v>0.3</v>
      </c>
      <c r="I19" s="2">
        <v>7</v>
      </c>
      <c r="J19" s="19"/>
      <c r="L19" s="10">
        <v>0.3</v>
      </c>
      <c r="M19" s="2">
        <v>4</v>
      </c>
      <c r="N19" s="19"/>
      <c r="P19" s="10">
        <v>0.3</v>
      </c>
      <c r="Q19" s="2">
        <v>3</v>
      </c>
      <c r="R19" s="19"/>
      <c r="T19" s="10">
        <v>0.3</v>
      </c>
      <c r="U19" s="2">
        <v>7</v>
      </c>
      <c r="V19" s="19"/>
    </row>
    <row r="20" spans="1:22" x14ac:dyDescent="0.35">
      <c r="C20" t="s">
        <v>40</v>
      </c>
      <c r="D20" s="10">
        <v>0.3</v>
      </c>
      <c r="E20" s="2">
        <v>9</v>
      </c>
      <c r="F20" s="19"/>
      <c r="H20" s="10">
        <v>0.3</v>
      </c>
      <c r="I20" s="2">
        <v>6</v>
      </c>
      <c r="J20" s="19"/>
      <c r="L20" s="10">
        <v>0.3</v>
      </c>
      <c r="M20" s="2">
        <v>5</v>
      </c>
      <c r="N20" s="19"/>
      <c r="P20" s="10">
        <v>0.3</v>
      </c>
      <c r="Q20" s="2">
        <v>2</v>
      </c>
      <c r="R20" s="19"/>
      <c r="T20" s="10">
        <v>0.3</v>
      </c>
      <c r="U20" s="2">
        <v>3</v>
      </c>
      <c r="V20" s="19"/>
    </row>
    <row r="21" spans="1:22" x14ac:dyDescent="0.35">
      <c r="D21" s="27">
        <v>0.15</v>
      </c>
      <c r="E21" s="13">
        <f>(D18*E18)+(D19*E19)+(D20*E20)</f>
        <v>7.1999999999999993</v>
      </c>
      <c r="F21" s="18">
        <f>D21*E21/10</f>
        <v>0.10799999999999998</v>
      </c>
      <c r="H21" s="27">
        <v>0.15</v>
      </c>
      <c r="I21" s="13">
        <f>(H18*I18)+(H19*I19)+(H20*I20)</f>
        <v>7.5</v>
      </c>
      <c r="J21" s="18">
        <f>H21*I21/10</f>
        <v>0.1125</v>
      </c>
      <c r="L21" s="27">
        <v>0.15</v>
      </c>
      <c r="M21" s="13">
        <f>(L18*M18)+(L19*M19)+(L20*M20)</f>
        <v>5.9</v>
      </c>
      <c r="N21" s="18">
        <f>L21*M21/10</f>
        <v>8.8499999999999995E-2</v>
      </c>
      <c r="P21" s="27">
        <v>0.15</v>
      </c>
      <c r="Q21" s="13">
        <f>(P18*Q18)+(P19*Q19)+(P20*Q20)</f>
        <v>3.5</v>
      </c>
      <c r="R21" s="18">
        <f>P21*Q21/10</f>
        <v>5.2500000000000005E-2</v>
      </c>
      <c r="T21" s="27">
        <v>0.15</v>
      </c>
      <c r="U21" s="13">
        <f>(T18*U18)+(T19*U19)+(T20*U20)</f>
        <v>4.5999999999999996</v>
      </c>
      <c r="V21" s="18">
        <f>T21*U21/10</f>
        <v>6.8999999999999992E-2</v>
      </c>
    </row>
    <row r="22" spans="1:22" x14ac:dyDescent="0.35">
      <c r="D22" s="11"/>
      <c r="F22" s="15"/>
      <c r="H22" s="11"/>
      <c r="J22" s="15"/>
      <c r="L22" s="11"/>
      <c r="M22" s="2"/>
      <c r="N22" s="15"/>
      <c r="P22" s="11"/>
      <c r="Q22" s="2"/>
      <c r="R22" s="15"/>
      <c r="T22" s="11"/>
      <c r="U22" s="2"/>
      <c r="V22" s="15"/>
    </row>
    <row r="23" spans="1:22" ht="15" thickBot="1" x14ac:dyDescent="0.4">
      <c r="D23" s="20"/>
      <c r="E23" s="14"/>
      <c r="F23" s="16">
        <f>SUM(F5,F9,F13,F17,F21)</f>
        <v>0.64900000000000002</v>
      </c>
      <c r="H23" s="20"/>
      <c r="I23" s="14"/>
      <c r="J23" s="16">
        <f>SUM(J5,J9,J13,J17,J21)</f>
        <v>0.69950000000000012</v>
      </c>
      <c r="L23" s="20"/>
      <c r="M23" s="14"/>
      <c r="N23" s="16">
        <f>SUM(N5,N9,N13,N17,N21)</f>
        <v>0.59500000000000008</v>
      </c>
      <c r="P23" s="20"/>
      <c r="Q23" s="14"/>
      <c r="R23" s="16">
        <f>SUM(R5,R9,R13,R17,R21)</f>
        <v>0.41399999999999998</v>
      </c>
      <c r="T23" s="20"/>
      <c r="U23" s="14"/>
      <c r="V23" s="16">
        <f>SUM(V5,V9,V13,V17,V21)</f>
        <v>0.47949999999999998</v>
      </c>
    </row>
  </sheetData>
  <mergeCells count="5">
    <mergeCell ref="E1:F1"/>
    <mergeCell ref="I1:J1"/>
    <mergeCell ref="M1:N1"/>
    <mergeCell ref="Q1:R1"/>
    <mergeCell ref="U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Criteria</vt:lpstr>
      <vt:lpstr>Vendor Rating</vt:lpstr>
      <vt:lpstr>Solution Capability</vt:lpstr>
      <vt:lpstr>Business Excellence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Shrivastav</dc:creator>
  <cp:lastModifiedBy>Mohit Shrivastav</cp:lastModifiedBy>
  <dcterms:created xsi:type="dcterms:W3CDTF">2015-06-05T18:17:20Z</dcterms:created>
  <dcterms:modified xsi:type="dcterms:W3CDTF">2025-08-08T09:58:05Z</dcterms:modified>
</cp:coreProperties>
</file>